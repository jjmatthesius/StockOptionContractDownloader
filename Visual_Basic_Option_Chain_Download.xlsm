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e\Documents\BEST\Automation\"/>
    </mc:Choice>
  </mc:AlternateContent>
  <bookViews>
    <workbookView xWindow="0" yWindow="0" windowWidth="24000" windowHeight="9732" activeTab="2"/>
  </bookViews>
  <sheets>
    <sheet name="CBOE" sheetId="2" r:id="rId1"/>
    <sheet name="Yahoo" sheetId="1" r:id="rId2"/>
    <sheet name="Google" sheetId="3" r:id="rId3"/>
    <sheet name="Prices.xla" sheetId="6" r:id="rId4"/>
  </sheets>
  <functionGroups builtInGroupCount="18"/>
  <externalReferences>
    <externalReference r:id="rId5"/>
  </externalReferences>
  <definedNames>
    <definedName name="_xlnm._FilterDatabase" localSheetId="1" hidden="1">Yahoo!$B$5:$P$39</definedName>
    <definedName name="EndTime">#REF!</definedName>
    <definedName name="Frequency">#REF!</definedName>
    <definedName name="gsymbol">Google!$B$3</definedName>
    <definedName name="Refresh">#REF!</definedName>
    <definedName name="StartTime">#REF!</definedName>
    <definedName name="symbol">Yahoo!$B$3</definedName>
    <definedName name="Table">#REF!</definedName>
    <definedName name="Table2">#REF!</definedName>
    <definedName name="Table3">#REF!</definedName>
    <definedName name="ticker">CBOE!$B$3</definedName>
  </definedNames>
  <calcPr calcId="171027" calcMode="manual"/>
</workbook>
</file>

<file path=xl/calcChain.xml><?xml version="1.0" encoding="utf-8"?>
<calcChain xmlns="http://schemas.openxmlformats.org/spreadsheetml/2006/main">
  <c r="V7" i="3" l="1"/>
  <c r="W7" i="3"/>
  <c r="X7" i="3"/>
  <c r="Y7" i="3"/>
  <c r="Z7" i="3"/>
  <c r="AA7" i="3"/>
  <c r="V8" i="3"/>
  <c r="W8" i="3"/>
  <c r="X8" i="3"/>
  <c r="Y8" i="3"/>
  <c r="Z8" i="3"/>
  <c r="AA8" i="3"/>
  <c r="V9" i="3"/>
  <c r="W9" i="3"/>
  <c r="X9" i="3"/>
  <c r="Y9" i="3"/>
  <c r="Z9" i="3"/>
  <c r="AA9" i="3"/>
  <c r="V10" i="3"/>
  <c r="W10" i="3"/>
  <c r="X10" i="3"/>
  <c r="Y10" i="3"/>
  <c r="Z10" i="3"/>
  <c r="AA10" i="3"/>
  <c r="V11" i="3"/>
  <c r="W11" i="3"/>
  <c r="X11" i="3"/>
  <c r="Y11" i="3"/>
  <c r="Z11" i="3"/>
  <c r="AA11" i="3"/>
  <c r="V12" i="3"/>
  <c r="W12" i="3"/>
  <c r="X12" i="3"/>
  <c r="Y12" i="3"/>
  <c r="Z12" i="3"/>
  <c r="AA12" i="3"/>
  <c r="V13" i="3"/>
  <c r="W13" i="3"/>
  <c r="X13" i="3"/>
  <c r="Y13" i="3"/>
  <c r="Z13" i="3"/>
  <c r="AA13" i="3"/>
  <c r="V14" i="3"/>
  <c r="W14" i="3"/>
  <c r="X14" i="3"/>
  <c r="Y14" i="3"/>
  <c r="Z14" i="3"/>
  <c r="AA14" i="3"/>
  <c r="V15" i="3"/>
  <c r="W15" i="3"/>
  <c r="X15" i="3"/>
  <c r="Y15" i="3"/>
  <c r="Z15" i="3"/>
  <c r="AA15" i="3"/>
  <c r="V16" i="3"/>
  <c r="W16" i="3"/>
  <c r="X16" i="3"/>
  <c r="Y16" i="3"/>
  <c r="Z16" i="3"/>
  <c r="AA16" i="3"/>
  <c r="V17" i="3"/>
  <c r="W17" i="3"/>
  <c r="X17" i="3"/>
  <c r="Y17" i="3"/>
  <c r="Z17" i="3"/>
  <c r="AA17" i="3"/>
  <c r="V18" i="3"/>
  <c r="W18" i="3"/>
  <c r="X18" i="3"/>
  <c r="Y18" i="3"/>
  <c r="Z18" i="3"/>
  <c r="AA18" i="3"/>
  <c r="V19" i="3"/>
  <c r="W19" i="3"/>
  <c r="X19" i="3"/>
  <c r="Y19" i="3"/>
  <c r="Z19" i="3"/>
  <c r="AA19" i="3"/>
  <c r="V20" i="3"/>
  <c r="W20" i="3"/>
  <c r="X20" i="3"/>
  <c r="Y20" i="3"/>
  <c r="Z20" i="3"/>
  <c r="AA20" i="3"/>
  <c r="V21" i="3"/>
  <c r="W21" i="3"/>
  <c r="X21" i="3"/>
  <c r="Y21" i="3"/>
  <c r="Z21" i="3"/>
  <c r="AA21" i="3"/>
  <c r="V22" i="3"/>
  <c r="W22" i="3"/>
  <c r="X22" i="3"/>
  <c r="Y22" i="3"/>
  <c r="Z22" i="3"/>
  <c r="AA22" i="3"/>
  <c r="V23" i="3"/>
  <c r="W23" i="3"/>
  <c r="X23" i="3"/>
  <c r="Y23" i="3"/>
  <c r="Z23" i="3"/>
  <c r="AA23" i="3"/>
  <c r="V24" i="3"/>
  <c r="W24" i="3"/>
  <c r="X24" i="3"/>
  <c r="Y24" i="3"/>
  <c r="Z24" i="3"/>
  <c r="AA24" i="3"/>
  <c r="V25" i="3"/>
  <c r="W25" i="3"/>
  <c r="X25" i="3"/>
  <c r="Y25" i="3"/>
  <c r="Z25" i="3"/>
  <c r="AA25" i="3"/>
  <c r="V26" i="3"/>
  <c r="W26" i="3"/>
  <c r="X26" i="3"/>
  <c r="Y26" i="3"/>
  <c r="Z26" i="3"/>
  <c r="AA26" i="3"/>
  <c r="V27" i="3"/>
  <c r="W27" i="3"/>
  <c r="X27" i="3"/>
  <c r="Y27" i="3"/>
  <c r="Z27" i="3"/>
  <c r="AA27" i="3"/>
  <c r="V28" i="3"/>
  <c r="W28" i="3"/>
  <c r="X28" i="3"/>
  <c r="Y28" i="3"/>
  <c r="Z28" i="3"/>
  <c r="AA28" i="3"/>
  <c r="V29" i="3"/>
  <c r="W29" i="3"/>
  <c r="X29" i="3"/>
  <c r="Y29" i="3"/>
  <c r="Z29" i="3"/>
  <c r="AA29" i="3"/>
  <c r="V30" i="3"/>
  <c r="W30" i="3"/>
  <c r="X30" i="3"/>
  <c r="Y30" i="3"/>
  <c r="Z30" i="3"/>
  <c r="AA30" i="3"/>
  <c r="V31" i="3"/>
  <c r="W31" i="3"/>
  <c r="X31" i="3"/>
  <c r="Y31" i="3"/>
  <c r="Z31" i="3"/>
  <c r="AA31" i="3"/>
  <c r="V32" i="3"/>
  <c r="W32" i="3"/>
  <c r="X32" i="3"/>
  <c r="Y32" i="3"/>
  <c r="Z32" i="3"/>
  <c r="AA32" i="3"/>
  <c r="V33" i="3"/>
  <c r="W33" i="3"/>
  <c r="X33" i="3"/>
  <c r="Y33" i="3"/>
  <c r="Z33" i="3"/>
  <c r="AA33" i="3"/>
  <c r="V34" i="3"/>
  <c r="W34" i="3"/>
  <c r="X34" i="3"/>
  <c r="Y34" i="3"/>
  <c r="Z34" i="3"/>
  <c r="AA34" i="3"/>
  <c r="V35" i="3"/>
  <c r="W35" i="3"/>
  <c r="X35" i="3"/>
  <c r="Y35" i="3"/>
  <c r="Z35" i="3"/>
  <c r="AA35" i="3"/>
  <c r="V36" i="3"/>
  <c r="W36" i="3"/>
  <c r="X36" i="3"/>
  <c r="Y36" i="3"/>
  <c r="Z36" i="3"/>
  <c r="AA36" i="3"/>
  <c r="V37" i="3"/>
  <c r="W37" i="3"/>
  <c r="X37" i="3"/>
  <c r="Y37" i="3"/>
  <c r="Z37" i="3"/>
  <c r="AA37" i="3"/>
  <c r="V38" i="3"/>
  <c r="W38" i="3"/>
  <c r="X38" i="3"/>
  <c r="Y38" i="3"/>
  <c r="Z38" i="3"/>
  <c r="AA38" i="3"/>
  <c r="V39" i="3"/>
  <c r="W39" i="3"/>
  <c r="X39" i="3"/>
  <c r="Y39" i="3"/>
  <c r="Z39" i="3"/>
  <c r="AA39" i="3"/>
  <c r="V40" i="3"/>
  <c r="W40" i="3"/>
  <c r="X40" i="3"/>
  <c r="Y40" i="3"/>
  <c r="Z40" i="3"/>
  <c r="AA40" i="3"/>
  <c r="V41" i="3"/>
  <c r="W41" i="3"/>
  <c r="X41" i="3"/>
  <c r="Y41" i="3"/>
  <c r="Z41" i="3"/>
  <c r="AA41" i="3"/>
  <c r="V42" i="3"/>
  <c r="W42" i="3"/>
  <c r="X42" i="3"/>
  <c r="Y42" i="3"/>
  <c r="Z42" i="3"/>
  <c r="AA42" i="3"/>
  <c r="V43" i="3"/>
  <c r="W43" i="3"/>
  <c r="X43" i="3"/>
  <c r="Y43" i="3"/>
  <c r="Z43" i="3"/>
  <c r="AA43" i="3"/>
  <c r="V44" i="3"/>
  <c r="W44" i="3"/>
  <c r="X44" i="3"/>
  <c r="Y44" i="3"/>
  <c r="Z44" i="3"/>
  <c r="AA44" i="3"/>
  <c r="V45" i="3"/>
  <c r="W45" i="3"/>
  <c r="X45" i="3"/>
  <c r="Y45" i="3"/>
  <c r="Z45" i="3"/>
  <c r="AA45" i="3"/>
  <c r="V46" i="3"/>
  <c r="W46" i="3"/>
  <c r="X46" i="3"/>
  <c r="Y46" i="3"/>
  <c r="Z46" i="3"/>
  <c r="AA46" i="3"/>
  <c r="V47" i="3"/>
  <c r="W47" i="3"/>
  <c r="X47" i="3"/>
  <c r="Y47" i="3"/>
  <c r="Z47" i="3"/>
  <c r="AA47" i="3"/>
  <c r="V48" i="3"/>
  <c r="W48" i="3"/>
  <c r="X48" i="3"/>
  <c r="Y48" i="3"/>
  <c r="Z48" i="3"/>
  <c r="AA48" i="3"/>
  <c r="V49" i="3"/>
  <c r="W49" i="3"/>
  <c r="X49" i="3"/>
  <c r="Y49" i="3"/>
  <c r="Z49" i="3"/>
  <c r="AA49" i="3"/>
  <c r="V50" i="3"/>
  <c r="W50" i="3"/>
  <c r="X50" i="3"/>
  <c r="Y50" i="3"/>
  <c r="Z50" i="3"/>
  <c r="AA50" i="3"/>
  <c r="V51" i="3"/>
  <c r="W51" i="3"/>
  <c r="X51" i="3"/>
  <c r="Y51" i="3"/>
  <c r="Z51" i="3"/>
  <c r="AA51" i="3"/>
  <c r="V52" i="3"/>
  <c r="W52" i="3"/>
  <c r="X52" i="3"/>
  <c r="Y52" i="3"/>
  <c r="Z52" i="3"/>
  <c r="AA52" i="3"/>
  <c r="V53" i="3"/>
  <c r="W53" i="3"/>
  <c r="X53" i="3"/>
  <c r="Y53" i="3"/>
  <c r="Z53" i="3"/>
  <c r="AA53" i="3"/>
  <c r="V54" i="3"/>
  <c r="W54" i="3"/>
  <c r="X54" i="3"/>
  <c r="Y54" i="3"/>
  <c r="Z54" i="3"/>
  <c r="AA54" i="3"/>
  <c r="V55" i="3"/>
  <c r="W55" i="3"/>
  <c r="X55" i="3"/>
  <c r="Y55" i="3"/>
  <c r="Z55" i="3"/>
  <c r="AA55" i="3"/>
  <c r="V56" i="3"/>
  <c r="W56" i="3"/>
  <c r="X56" i="3"/>
  <c r="Y56" i="3"/>
  <c r="Z56" i="3"/>
  <c r="AA56" i="3"/>
  <c r="V57" i="3"/>
  <c r="W57" i="3"/>
  <c r="X57" i="3"/>
  <c r="Y57" i="3"/>
  <c r="Z57" i="3"/>
  <c r="AA57" i="3"/>
  <c r="V58" i="3"/>
  <c r="W58" i="3"/>
  <c r="X58" i="3"/>
  <c r="Y58" i="3"/>
  <c r="Z58" i="3"/>
  <c r="AA58" i="3"/>
  <c r="V59" i="3"/>
  <c r="W59" i="3"/>
  <c r="X59" i="3"/>
  <c r="Y59" i="3"/>
  <c r="Z59" i="3"/>
  <c r="AA59" i="3"/>
  <c r="V60" i="3"/>
  <c r="W60" i="3"/>
  <c r="X60" i="3"/>
  <c r="Y60" i="3"/>
  <c r="Z60" i="3"/>
  <c r="AA60" i="3"/>
  <c r="V61" i="3"/>
  <c r="W61" i="3"/>
  <c r="X61" i="3"/>
  <c r="Y61" i="3"/>
  <c r="Z61" i="3"/>
  <c r="AA61" i="3"/>
  <c r="V62" i="3"/>
  <c r="W62" i="3"/>
  <c r="X62" i="3"/>
  <c r="Y62" i="3"/>
  <c r="Z62" i="3"/>
  <c r="AA62" i="3"/>
  <c r="V63" i="3"/>
  <c r="W63" i="3"/>
  <c r="X63" i="3"/>
  <c r="Y63" i="3"/>
  <c r="Z63" i="3"/>
  <c r="AA63" i="3"/>
  <c r="V64" i="3"/>
  <c r="W64" i="3"/>
  <c r="X64" i="3"/>
  <c r="Y64" i="3"/>
  <c r="Z64" i="3"/>
  <c r="AA64" i="3"/>
  <c r="V65" i="3"/>
  <c r="W65" i="3"/>
  <c r="X65" i="3"/>
  <c r="Y65" i="3"/>
  <c r="Z65" i="3"/>
  <c r="AA65" i="3"/>
  <c r="V66" i="3"/>
  <c r="W66" i="3"/>
  <c r="X66" i="3"/>
  <c r="Y66" i="3"/>
  <c r="Z66" i="3"/>
  <c r="AA66" i="3"/>
  <c r="V67" i="3"/>
  <c r="W67" i="3"/>
  <c r="X67" i="3"/>
  <c r="Y67" i="3"/>
  <c r="Z67" i="3"/>
  <c r="AA67" i="3"/>
  <c r="V68" i="3"/>
  <c r="W68" i="3"/>
  <c r="X68" i="3"/>
  <c r="Y68" i="3"/>
  <c r="Z68" i="3"/>
  <c r="AA68" i="3"/>
  <c r="V69" i="3"/>
  <c r="W69" i="3"/>
  <c r="X69" i="3"/>
  <c r="Y69" i="3"/>
  <c r="Z69" i="3"/>
  <c r="AA69" i="3"/>
  <c r="V70" i="3"/>
  <c r="W70" i="3"/>
  <c r="X70" i="3"/>
  <c r="Y70" i="3"/>
  <c r="Z70" i="3"/>
  <c r="AA70" i="3"/>
  <c r="V71" i="3"/>
  <c r="W71" i="3"/>
  <c r="X71" i="3"/>
  <c r="Y71" i="3"/>
  <c r="Z71" i="3"/>
  <c r="AA71" i="3"/>
  <c r="V72" i="3"/>
  <c r="W72" i="3"/>
  <c r="X72" i="3"/>
  <c r="Y72" i="3"/>
  <c r="Z72" i="3"/>
  <c r="AA72" i="3"/>
  <c r="V73" i="3"/>
  <c r="W73" i="3"/>
  <c r="X73" i="3"/>
  <c r="Y73" i="3"/>
  <c r="Z73" i="3"/>
  <c r="AA73" i="3"/>
  <c r="V74" i="3"/>
  <c r="W74" i="3"/>
  <c r="X74" i="3"/>
  <c r="Y74" i="3"/>
  <c r="Z74" i="3"/>
  <c r="AA74" i="3"/>
  <c r="V75" i="3"/>
  <c r="W75" i="3"/>
  <c r="X75" i="3"/>
  <c r="Y75" i="3"/>
  <c r="Z75" i="3"/>
  <c r="AA75" i="3"/>
  <c r="V76" i="3"/>
  <c r="W76" i="3"/>
  <c r="X76" i="3"/>
  <c r="Y76" i="3"/>
  <c r="Z76" i="3"/>
  <c r="AA76" i="3"/>
  <c r="V77" i="3"/>
  <c r="W77" i="3"/>
  <c r="X77" i="3"/>
  <c r="Y77" i="3"/>
  <c r="Z77" i="3"/>
  <c r="AA77" i="3"/>
  <c r="V78" i="3"/>
  <c r="W78" i="3"/>
  <c r="X78" i="3"/>
  <c r="Y78" i="3"/>
  <c r="Z78" i="3"/>
  <c r="AA78" i="3"/>
  <c r="V79" i="3"/>
  <c r="W79" i="3"/>
  <c r="X79" i="3"/>
  <c r="Y79" i="3"/>
  <c r="Z79" i="3"/>
  <c r="AA79" i="3"/>
  <c r="V80" i="3"/>
  <c r="W80" i="3"/>
  <c r="X80" i="3"/>
  <c r="Y80" i="3"/>
  <c r="Z80" i="3"/>
  <c r="AA80" i="3"/>
  <c r="V81" i="3"/>
  <c r="W81" i="3"/>
  <c r="X81" i="3"/>
  <c r="Y81" i="3"/>
  <c r="Z81" i="3"/>
  <c r="AA81" i="3"/>
  <c r="V82" i="3"/>
  <c r="W82" i="3"/>
  <c r="X82" i="3"/>
  <c r="Y82" i="3"/>
  <c r="Z82" i="3"/>
  <c r="AA82" i="3"/>
  <c r="V83" i="3"/>
  <c r="W83" i="3"/>
  <c r="X83" i="3"/>
  <c r="Y83" i="3"/>
  <c r="Z83" i="3"/>
  <c r="AA83" i="3"/>
  <c r="V84" i="3"/>
  <c r="W84" i="3"/>
  <c r="X84" i="3"/>
  <c r="Y84" i="3"/>
  <c r="Z84" i="3"/>
  <c r="AA84" i="3"/>
  <c r="V85" i="3"/>
  <c r="W85" i="3"/>
  <c r="X85" i="3"/>
  <c r="Y85" i="3"/>
  <c r="Z85" i="3"/>
  <c r="AA85" i="3"/>
  <c r="V86" i="3"/>
  <c r="W86" i="3"/>
  <c r="X86" i="3"/>
  <c r="Y86" i="3"/>
  <c r="Z86" i="3"/>
  <c r="AA86" i="3"/>
  <c r="V87" i="3"/>
  <c r="W87" i="3"/>
  <c r="X87" i="3"/>
  <c r="Y87" i="3"/>
  <c r="Z87" i="3"/>
  <c r="AA87" i="3"/>
  <c r="V88" i="3"/>
  <c r="W88" i="3"/>
  <c r="X88" i="3"/>
  <c r="Y88" i="3"/>
  <c r="Z88" i="3"/>
  <c r="AA88" i="3"/>
  <c r="V89" i="3"/>
  <c r="W89" i="3"/>
  <c r="X89" i="3"/>
  <c r="Y89" i="3"/>
  <c r="Z89" i="3"/>
  <c r="AA89" i="3"/>
  <c r="V90" i="3"/>
  <c r="W90" i="3"/>
  <c r="X90" i="3"/>
  <c r="Y90" i="3"/>
  <c r="Z90" i="3"/>
  <c r="AA90" i="3"/>
  <c r="V91" i="3"/>
  <c r="W91" i="3"/>
  <c r="X91" i="3"/>
  <c r="Y91" i="3"/>
  <c r="Z91" i="3"/>
  <c r="AA91" i="3"/>
  <c r="V92" i="3"/>
  <c r="W92" i="3"/>
  <c r="X92" i="3"/>
  <c r="Y92" i="3"/>
  <c r="Z92" i="3"/>
  <c r="AA92" i="3"/>
  <c r="V93" i="3"/>
  <c r="W93" i="3"/>
  <c r="X93" i="3"/>
  <c r="Y93" i="3"/>
  <c r="Z93" i="3"/>
  <c r="AA93" i="3"/>
  <c r="V94" i="3"/>
  <c r="W94" i="3"/>
  <c r="X94" i="3"/>
  <c r="Y94" i="3"/>
  <c r="Z94" i="3"/>
  <c r="AA94" i="3"/>
  <c r="V95" i="3"/>
  <c r="W95" i="3"/>
  <c r="X95" i="3"/>
  <c r="Y95" i="3"/>
  <c r="Z95" i="3"/>
  <c r="AA95" i="3"/>
  <c r="V96" i="3"/>
  <c r="W96" i="3"/>
  <c r="X96" i="3"/>
  <c r="Y96" i="3"/>
  <c r="Z96" i="3"/>
  <c r="AA96" i="3"/>
  <c r="V97" i="3"/>
  <c r="W97" i="3"/>
  <c r="X97" i="3"/>
  <c r="Y97" i="3"/>
  <c r="Z97" i="3"/>
  <c r="AA97" i="3"/>
  <c r="V98" i="3"/>
  <c r="W98" i="3"/>
  <c r="X98" i="3"/>
  <c r="Y98" i="3"/>
  <c r="Z98" i="3"/>
  <c r="AA98" i="3"/>
  <c r="V99" i="3"/>
  <c r="W99" i="3"/>
  <c r="X99" i="3"/>
  <c r="Y99" i="3"/>
  <c r="Z99" i="3"/>
  <c r="AA99" i="3"/>
  <c r="V100" i="3"/>
  <c r="W100" i="3"/>
  <c r="X100" i="3"/>
  <c r="Y100" i="3"/>
  <c r="Z100" i="3"/>
  <c r="AA100" i="3"/>
  <c r="V101" i="3"/>
  <c r="W101" i="3"/>
  <c r="X101" i="3"/>
  <c r="Y101" i="3"/>
  <c r="Z101" i="3"/>
  <c r="AA101" i="3"/>
  <c r="V102" i="3"/>
  <c r="W102" i="3"/>
  <c r="X102" i="3"/>
  <c r="Y102" i="3"/>
  <c r="Z102" i="3"/>
  <c r="AA102" i="3"/>
  <c r="V103" i="3"/>
  <c r="W103" i="3"/>
  <c r="X103" i="3"/>
  <c r="Y103" i="3"/>
  <c r="Z103" i="3"/>
  <c r="AA103" i="3"/>
  <c r="V104" i="3"/>
  <c r="W104" i="3"/>
  <c r="X104" i="3"/>
  <c r="Y104" i="3"/>
  <c r="Z104" i="3"/>
  <c r="AA104" i="3"/>
  <c r="V105" i="3"/>
  <c r="W105" i="3"/>
  <c r="X105" i="3"/>
  <c r="Y105" i="3"/>
  <c r="Z105" i="3"/>
  <c r="AA105" i="3"/>
  <c r="V106" i="3"/>
  <c r="W106" i="3"/>
  <c r="X106" i="3"/>
  <c r="Y106" i="3"/>
  <c r="Z106" i="3"/>
  <c r="AA106" i="3"/>
  <c r="V107" i="3"/>
  <c r="W107" i="3"/>
  <c r="X107" i="3"/>
  <c r="Y107" i="3"/>
  <c r="Z107" i="3"/>
  <c r="AA107" i="3"/>
  <c r="V108" i="3"/>
  <c r="W108" i="3"/>
  <c r="X108" i="3"/>
  <c r="Y108" i="3"/>
  <c r="Z108" i="3"/>
  <c r="AA108" i="3"/>
  <c r="V109" i="3"/>
  <c r="W109" i="3"/>
  <c r="X109" i="3"/>
  <c r="Y109" i="3"/>
  <c r="Z109" i="3"/>
  <c r="AA109" i="3"/>
  <c r="V110" i="3"/>
  <c r="W110" i="3"/>
  <c r="X110" i="3"/>
  <c r="Y110" i="3"/>
  <c r="Z110" i="3"/>
  <c r="AA110" i="3"/>
  <c r="V111" i="3"/>
  <c r="W111" i="3"/>
  <c r="X111" i="3"/>
  <c r="Y111" i="3"/>
  <c r="Z111" i="3"/>
  <c r="AA111" i="3"/>
  <c r="V112" i="3"/>
  <c r="W112" i="3"/>
  <c r="X112" i="3"/>
  <c r="Y112" i="3"/>
  <c r="Z112" i="3"/>
  <c r="AA112" i="3"/>
  <c r="V113" i="3"/>
  <c r="W113" i="3"/>
  <c r="X113" i="3"/>
  <c r="Y113" i="3"/>
  <c r="Z113" i="3"/>
  <c r="AA113" i="3"/>
  <c r="V114" i="3"/>
  <c r="W114" i="3"/>
  <c r="X114" i="3"/>
  <c r="Y114" i="3"/>
  <c r="Z114" i="3"/>
  <c r="AA114" i="3"/>
  <c r="V115" i="3"/>
  <c r="W115" i="3"/>
  <c r="X115" i="3"/>
  <c r="Y115" i="3"/>
  <c r="Z115" i="3"/>
  <c r="AA115" i="3"/>
  <c r="V116" i="3"/>
  <c r="W116" i="3"/>
  <c r="X116" i="3"/>
  <c r="Y116" i="3"/>
  <c r="Z116" i="3"/>
  <c r="AA116" i="3"/>
  <c r="V117" i="3"/>
  <c r="W117" i="3"/>
  <c r="X117" i="3"/>
  <c r="Y117" i="3"/>
  <c r="Z117" i="3"/>
  <c r="AA117" i="3"/>
  <c r="V118" i="3"/>
  <c r="W118" i="3"/>
  <c r="X118" i="3"/>
  <c r="Y118" i="3"/>
  <c r="Z118" i="3"/>
  <c r="AA118" i="3"/>
  <c r="V119" i="3"/>
  <c r="W119" i="3"/>
  <c r="X119" i="3"/>
  <c r="Y119" i="3"/>
  <c r="Z119" i="3"/>
  <c r="AA119" i="3"/>
  <c r="V120" i="3"/>
  <c r="W120" i="3"/>
  <c r="X120" i="3"/>
  <c r="Y120" i="3"/>
  <c r="Z120" i="3"/>
  <c r="AA120" i="3"/>
  <c r="V121" i="3"/>
  <c r="W121" i="3"/>
  <c r="X121" i="3"/>
  <c r="Y121" i="3"/>
  <c r="Z121" i="3"/>
  <c r="AA121" i="3"/>
  <c r="V122" i="3"/>
  <c r="W122" i="3"/>
  <c r="X122" i="3"/>
  <c r="Y122" i="3"/>
  <c r="Z122" i="3"/>
  <c r="AA122" i="3"/>
  <c r="V123" i="3"/>
  <c r="W123" i="3"/>
  <c r="X123" i="3"/>
  <c r="Y123" i="3"/>
  <c r="Z123" i="3"/>
  <c r="AA123" i="3"/>
  <c r="V124" i="3"/>
  <c r="W124" i="3"/>
  <c r="X124" i="3"/>
  <c r="Y124" i="3"/>
  <c r="Z124" i="3"/>
  <c r="AA124" i="3"/>
  <c r="V125" i="3"/>
  <c r="W125" i="3"/>
  <c r="X125" i="3"/>
  <c r="Y125" i="3"/>
  <c r="Z125" i="3"/>
  <c r="AA125" i="3"/>
  <c r="V126" i="3"/>
  <c r="W126" i="3"/>
  <c r="X126" i="3"/>
  <c r="Y126" i="3"/>
  <c r="Z126" i="3"/>
  <c r="AA126" i="3"/>
  <c r="V127" i="3"/>
  <c r="W127" i="3"/>
  <c r="X127" i="3"/>
  <c r="Y127" i="3"/>
  <c r="Z127" i="3"/>
  <c r="AA127" i="3"/>
  <c r="V128" i="3"/>
  <c r="W128" i="3"/>
  <c r="X128" i="3"/>
  <c r="Y128" i="3"/>
  <c r="Z128" i="3"/>
  <c r="AA128" i="3"/>
  <c r="V129" i="3"/>
  <c r="W129" i="3"/>
  <c r="X129" i="3"/>
  <c r="Y129" i="3"/>
  <c r="Z129" i="3"/>
  <c r="AA129" i="3"/>
  <c r="V130" i="3"/>
  <c r="W130" i="3"/>
  <c r="X130" i="3"/>
  <c r="Y130" i="3"/>
  <c r="Z130" i="3"/>
  <c r="AA130" i="3"/>
  <c r="V131" i="3"/>
  <c r="W131" i="3"/>
  <c r="X131" i="3"/>
  <c r="Y131" i="3"/>
  <c r="Z131" i="3"/>
  <c r="AA131" i="3"/>
  <c r="V132" i="3"/>
  <c r="W132" i="3"/>
  <c r="X132" i="3"/>
  <c r="Y132" i="3"/>
  <c r="Z132" i="3"/>
  <c r="AA132" i="3"/>
  <c r="V133" i="3"/>
  <c r="W133" i="3"/>
  <c r="X133" i="3"/>
  <c r="Y133" i="3"/>
  <c r="Z133" i="3"/>
  <c r="AA133" i="3"/>
  <c r="V134" i="3"/>
  <c r="W134" i="3"/>
  <c r="X134" i="3"/>
  <c r="Y134" i="3"/>
  <c r="Z134" i="3"/>
  <c r="AA134" i="3"/>
  <c r="V135" i="3"/>
  <c r="W135" i="3"/>
  <c r="X135" i="3"/>
  <c r="Y135" i="3"/>
  <c r="Z135" i="3"/>
  <c r="AA135" i="3"/>
  <c r="V136" i="3"/>
  <c r="W136" i="3"/>
  <c r="X136" i="3"/>
  <c r="Y136" i="3"/>
  <c r="Z136" i="3"/>
  <c r="AA136" i="3"/>
  <c r="V137" i="3"/>
  <c r="W137" i="3"/>
  <c r="X137" i="3"/>
  <c r="Y137" i="3"/>
  <c r="Z137" i="3"/>
  <c r="AA137" i="3"/>
  <c r="V138" i="3"/>
  <c r="W138" i="3"/>
  <c r="X138" i="3"/>
  <c r="Y138" i="3"/>
  <c r="Z138" i="3"/>
  <c r="AA138" i="3"/>
  <c r="V139" i="3"/>
  <c r="W139" i="3"/>
  <c r="X139" i="3"/>
  <c r="Y139" i="3"/>
  <c r="Z139" i="3"/>
  <c r="AA139" i="3"/>
  <c r="V140" i="3"/>
  <c r="W140" i="3"/>
  <c r="X140" i="3"/>
  <c r="Y140" i="3"/>
  <c r="Z140" i="3"/>
  <c r="AA140" i="3"/>
  <c r="V141" i="3"/>
  <c r="W141" i="3"/>
  <c r="X141" i="3"/>
  <c r="Y141" i="3"/>
  <c r="Z141" i="3"/>
  <c r="AA141" i="3"/>
  <c r="V142" i="3"/>
  <c r="W142" i="3"/>
  <c r="X142" i="3"/>
  <c r="Y142" i="3"/>
  <c r="Z142" i="3"/>
  <c r="AA142" i="3"/>
  <c r="V143" i="3"/>
  <c r="W143" i="3"/>
  <c r="X143" i="3"/>
  <c r="Y143" i="3"/>
  <c r="Z143" i="3"/>
  <c r="AA143" i="3"/>
  <c r="V144" i="3"/>
  <c r="W144" i="3"/>
  <c r="X144" i="3"/>
  <c r="Y144" i="3"/>
  <c r="Z144" i="3"/>
  <c r="AA144" i="3"/>
  <c r="V145" i="3"/>
  <c r="W145" i="3"/>
  <c r="X145" i="3"/>
  <c r="Y145" i="3"/>
  <c r="Z145" i="3"/>
  <c r="AA145" i="3"/>
  <c r="V146" i="3"/>
  <c r="W146" i="3"/>
  <c r="X146" i="3"/>
  <c r="Y146" i="3"/>
  <c r="Z146" i="3"/>
  <c r="AA146" i="3"/>
  <c r="V147" i="3"/>
  <c r="W147" i="3"/>
  <c r="X147" i="3"/>
  <c r="Y147" i="3"/>
  <c r="Z147" i="3"/>
  <c r="AA147" i="3"/>
  <c r="V148" i="3"/>
  <c r="W148" i="3"/>
  <c r="X148" i="3"/>
  <c r="Y148" i="3"/>
  <c r="Z148" i="3"/>
  <c r="AA148" i="3"/>
  <c r="V149" i="3"/>
  <c r="W149" i="3"/>
  <c r="X149" i="3"/>
  <c r="Y149" i="3"/>
  <c r="Z149" i="3"/>
  <c r="AA149" i="3"/>
  <c r="V150" i="3"/>
  <c r="W150" i="3"/>
  <c r="X150" i="3"/>
  <c r="Y150" i="3"/>
  <c r="Z150" i="3"/>
  <c r="AA150" i="3"/>
  <c r="V151" i="3"/>
  <c r="W151" i="3"/>
  <c r="X151" i="3"/>
  <c r="Y151" i="3"/>
  <c r="Z151" i="3"/>
  <c r="AA151" i="3"/>
  <c r="V152" i="3"/>
  <c r="W152" i="3"/>
  <c r="X152" i="3"/>
  <c r="Y152" i="3"/>
  <c r="Z152" i="3"/>
  <c r="AA152" i="3"/>
  <c r="V153" i="3"/>
  <c r="W153" i="3"/>
  <c r="X153" i="3"/>
  <c r="Y153" i="3"/>
  <c r="Z153" i="3"/>
  <c r="AA153" i="3"/>
  <c r="V154" i="3"/>
  <c r="W154" i="3"/>
  <c r="X154" i="3"/>
  <c r="Y154" i="3"/>
  <c r="Z154" i="3"/>
  <c r="AA154" i="3"/>
  <c r="V155" i="3"/>
  <c r="W155" i="3"/>
  <c r="X155" i="3"/>
  <c r="Y155" i="3"/>
  <c r="Z155" i="3"/>
  <c r="AA155" i="3"/>
  <c r="V156" i="3"/>
  <c r="W156" i="3"/>
  <c r="X156" i="3"/>
  <c r="Y156" i="3"/>
  <c r="Z156" i="3"/>
  <c r="AA156" i="3"/>
  <c r="V157" i="3"/>
  <c r="W157" i="3"/>
  <c r="X157" i="3"/>
  <c r="Y157" i="3"/>
  <c r="Z157" i="3"/>
  <c r="AA157" i="3"/>
  <c r="V158" i="3"/>
  <c r="W158" i="3"/>
  <c r="X158" i="3"/>
  <c r="Y158" i="3"/>
  <c r="Z158" i="3"/>
  <c r="AA158" i="3"/>
  <c r="V159" i="3"/>
  <c r="W159" i="3"/>
  <c r="X159" i="3"/>
  <c r="Y159" i="3"/>
  <c r="Z159" i="3"/>
  <c r="AA159" i="3"/>
  <c r="V160" i="3"/>
  <c r="W160" i="3"/>
  <c r="X160" i="3"/>
  <c r="Y160" i="3"/>
  <c r="Z160" i="3"/>
  <c r="AA160" i="3"/>
  <c r="V161" i="3"/>
  <c r="W161" i="3"/>
  <c r="X161" i="3"/>
  <c r="Y161" i="3"/>
  <c r="Z161" i="3"/>
  <c r="AA161" i="3"/>
  <c r="V162" i="3"/>
  <c r="W162" i="3"/>
  <c r="X162" i="3"/>
  <c r="Y162" i="3"/>
  <c r="Z162" i="3"/>
  <c r="AA162" i="3"/>
  <c r="V163" i="3"/>
  <c r="W163" i="3"/>
  <c r="X163" i="3"/>
  <c r="Y163" i="3"/>
  <c r="Z163" i="3"/>
  <c r="AA163" i="3"/>
  <c r="V164" i="3"/>
  <c r="W164" i="3"/>
  <c r="X164" i="3"/>
  <c r="Y164" i="3"/>
  <c r="Z164" i="3"/>
  <c r="AA164" i="3"/>
  <c r="V165" i="3"/>
  <c r="W165" i="3"/>
  <c r="X165" i="3"/>
  <c r="Y165" i="3"/>
  <c r="Z165" i="3"/>
  <c r="AA165" i="3"/>
  <c r="V166" i="3"/>
  <c r="W166" i="3"/>
  <c r="X166" i="3"/>
  <c r="Y166" i="3"/>
  <c r="Z166" i="3"/>
  <c r="AA166" i="3"/>
  <c r="V167" i="3"/>
  <c r="W167" i="3"/>
  <c r="X167" i="3"/>
  <c r="Y167" i="3"/>
  <c r="Z167" i="3"/>
  <c r="AA167" i="3"/>
  <c r="V168" i="3"/>
  <c r="W168" i="3"/>
  <c r="X168" i="3"/>
  <c r="Y168" i="3"/>
  <c r="Z168" i="3"/>
  <c r="AA168" i="3"/>
  <c r="V169" i="3"/>
  <c r="W169" i="3"/>
  <c r="X169" i="3"/>
  <c r="Y169" i="3"/>
  <c r="Z169" i="3"/>
  <c r="AA169" i="3"/>
  <c r="V170" i="3"/>
  <c r="W170" i="3"/>
  <c r="X170" i="3"/>
  <c r="Y170" i="3"/>
  <c r="Z170" i="3"/>
  <c r="AA170" i="3"/>
  <c r="V171" i="3"/>
  <c r="W171" i="3"/>
  <c r="X171" i="3"/>
  <c r="Y171" i="3"/>
  <c r="Z171" i="3"/>
  <c r="AA171" i="3"/>
  <c r="V172" i="3"/>
  <c r="W172" i="3"/>
  <c r="X172" i="3"/>
  <c r="Y172" i="3"/>
  <c r="Z172" i="3"/>
  <c r="AA172" i="3"/>
  <c r="V173" i="3"/>
  <c r="W173" i="3"/>
  <c r="X173" i="3"/>
  <c r="Y173" i="3"/>
  <c r="Z173" i="3"/>
  <c r="AA173" i="3"/>
  <c r="V174" i="3"/>
  <c r="W174" i="3"/>
  <c r="X174" i="3"/>
  <c r="Y174" i="3"/>
  <c r="Z174" i="3"/>
  <c r="AA174" i="3"/>
  <c r="V175" i="3"/>
  <c r="W175" i="3"/>
  <c r="X175" i="3"/>
  <c r="Y175" i="3"/>
  <c r="Z175" i="3"/>
  <c r="AA175" i="3"/>
  <c r="V176" i="3"/>
  <c r="W176" i="3"/>
  <c r="X176" i="3"/>
  <c r="Y176" i="3"/>
  <c r="Z176" i="3"/>
  <c r="AA176" i="3"/>
  <c r="V177" i="3"/>
  <c r="W177" i="3"/>
  <c r="X177" i="3"/>
  <c r="Y177" i="3"/>
  <c r="Z177" i="3"/>
  <c r="AA177" i="3"/>
  <c r="V178" i="3"/>
  <c r="W178" i="3"/>
  <c r="X178" i="3"/>
  <c r="Y178" i="3"/>
  <c r="Z178" i="3"/>
  <c r="AA178" i="3"/>
  <c r="V179" i="3"/>
  <c r="W179" i="3"/>
  <c r="X179" i="3"/>
  <c r="Y179" i="3"/>
  <c r="Z179" i="3"/>
  <c r="AA179" i="3"/>
  <c r="V180" i="3"/>
  <c r="W180" i="3"/>
  <c r="X180" i="3"/>
  <c r="Y180" i="3"/>
  <c r="Z180" i="3"/>
  <c r="AA180" i="3"/>
  <c r="V181" i="3"/>
  <c r="W181" i="3"/>
  <c r="X181" i="3"/>
  <c r="Y181" i="3"/>
  <c r="Z181" i="3"/>
  <c r="AA181" i="3"/>
  <c r="V182" i="3"/>
  <c r="W182" i="3"/>
  <c r="X182" i="3"/>
  <c r="Y182" i="3"/>
  <c r="Z182" i="3"/>
  <c r="AA182" i="3"/>
  <c r="V183" i="3"/>
  <c r="W183" i="3"/>
  <c r="X183" i="3"/>
  <c r="Y183" i="3"/>
  <c r="Z183" i="3"/>
  <c r="AA183" i="3"/>
  <c r="V184" i="3"/>
  <c r="W184" i="3"/>
  <c r="X184" i="3"/>
  <c r="Y184" i="3"/>
  <c r="Z184" i="3"/>
  <c r="AA184" i="3"/>
  <c r="V185" i="3"/>
  <c r="W185" i="3"/>
  <c r="X185" i="3"/>
  <c r="Y185" i="3"/>
  <c r="Z185" i="3"/>
  <c r="AA185" i="3"/>
  <c r="V186" i="3"/>
  <c r="W186" i="3"/>
  <c r="X186" i="3"/>
  <c r="Y186" i="3"/>
  <c r="Z186" i="3"/>
  <c r="AA186" i="3"/>
  <c r="V187" i="3"/>
  <c r="W187" i="3"/>
  <c r="X187" i="3"/>
  <c r="Y187" i="3"/>
  <c r="Z187" i="3"/>
  <c r="AA187" i="3"/>
  <c r="V188" i="3"/>
  <c r="W188" i="3"/>
  <c r="X188" i="3"/>
  <c r="Y188" i="3"/>
  <c r="Z188" i="3"/>
  <c r="AA188" i="3"/>
  <c r="V189" i="3"/>
  <c r="W189" i="3"/>
  <c r="X189" i="3"/>
  <c r="Y189" i="3"/>
  <c r="Z189" i="3"/>
  <c r="AA189" i="3"/>
  <c r="V190" i="3"/>
  <c r="W190" i="3"/>
  <c r="X190" i="3"/>
  <c r="Y190" i="3"/>
  <c r="Z190" i="3"/>
  <c r="AA190" i="3"/>
  <c r="V191" i="3"/>
  <c r="W191" i="3"/>
  <c r="X191" i="3"/>
  <c r="Y191" i="3"/>
  <c r="Z191" i="3"/>
  <c r="AA191" i="3"/>
  <c r="V192" i="3"/>
  <c r="W192" i="3"/>
  <c r="X192" i="3"/>
  <c r="Y192" i="3"/>
  <c r="Z192" i="3"/>
  <c r="AA192" i="3"/>
  <c r="V193" i="3"/>
  <c r="W193" i="3"/>
  <c r="X193" i="3"/>
  <c r="Y193" i="3"/>
  <c r="Z193" i="3"/>
  <c r="AA193" i="3"/>
  <c r="V194" i="3"/>
  <c r="W194" i="3"/>
  <c r="X194" i="3"/>
  <c r="Y194" i="3"/>
  <c r="Z194" i="3"/>
  <c r="AA194" i="3"/>
  <c r="V195" i="3"/>
  <c r="W195" i="3"/>
  <c r="X195" i="3"/>
  <c r="Y195" i="3"/>
  <c r="Z195" i="3"/>
  <c r="AA195" i="3"/>
  <c r="V196" i="3"/>
  <c r="W196" i="3"/>
  <c r="X196" i="3"/>
  <c r="Y196" i="3"/>
  <c r="Z196" i="3"/>
  <c r="AA196" i="3"/>
  <c r="V197" i="3"/>
  <c r="W197" i="3"/>
  <c r="X197" i="3"/>
  <c r="Y197" i="3"/>
  <c r="Z197" i="3"/>
  <c r="AA197" i="3"/>
  <c r="V198" i="3"/>
  <c r="W198" i="3"/>
  <c r="X198" i="3"/>
  <c r="Y198" i="3"/>
  <c r="Z198" i="3"/>
  <c r="AA198" i="3"/>
  <c r="V199" i="3"/>
  <c r="W199" i="3"/>
  <c r="X199" i="3"/>
  <c r="Y199" i="3"/>
  <c r="Z199" i="3"/>
  <c r="AA199" i="3"/>
  <c r="V200" i="3"/>
  <c r="W200" i="3"/>
  <c r="X200" i="3"/>
  <c r="Y200" i="3"/>
  <c r="Z200" i="3"/>
  <c r="AA200" i="3"/>
  <c r="V201" i="3"/>
  <c r="W201" i="3"/>
  <c r="X201" i="3"/>
  <c r="Y201" i="3"/>
  <c r="Z201" i="3"/>
  <c r="AA201" i="3"/>
  <c r="V202" i="3"/>
  <c r="W202" i="3"/>
  <c r="X202" i="3"/>
  <c r="Y202" i="3"/>
  <c r="Z202" i="3"/>
  <c r="AA202" i="3"/>
  <c r="V203" i="3"/>
  <c r="W203" i="3"/>
  <c r="X203" i="3"/>
  <c r="Y203" i="3"/>
  <c r="Z203" i="3"/>
  <c r="AA203" i="3"/>
  <c r="V204" i="3"/>
  <c r="W204" i="3"/>
  <c r="X204" i="3"/>
  <c r="Y204" i="3"/>
  <c r="Z204" i="3"/>
  <c r="AA204" i="3"/>
  <c r="V205" i="3"/>
  <c r="W205" i="3"/>
  <c r="X205" i="3"/>
  <c r="Y205" i="3"/>
  <c r="Z205" i="3"/>
  <c r="AA205" i="3"/>
  <c r="V206" i="3"/>
  <c r="W206" i="3"/>
  <c r="X206" i="3"/>
  <c r="Y206" i="3"/>
  <c r="Z206" i="3"/>
  <c r="AA206" i="3"/>
  <c r="V207" i="3"/>
  <c r="W207" i="3"/>
  <c r="X207" i="3"/>
  <c r="Y207" i="3"/>
  <c r="Z207" i="3"/>
  <c r="AA207" i="3"/>
  <c r="V208" i="3"/>
  <c r="W208" i="3"/>
  <c r="X208" i="3"/>
  <c r="Y208" i="3"/>
  <c r="Z208" i="3"/>
  <c r="AA208" i="3"/>
  <c r="V209" i="3"/>
  <c r="W209" i="3"/>
  <c r="X209" i="3"/>
  <c r="Y209" i="3"/>
  <c r="Z209" i="3"/>
  <c r="AA209" i="3"/>
  <c r="V210" i="3"/>
  <c r="W210" i="3"/>
  <c r="X210" i="3"/>
  <c r="Y210" i="3"/>
  <c r="Z210" i="3"/>
  <c r="AA210" i="3"/>
  <c r="V211" i="3"/>
  <c r="W211" i="3"/>
  <c r="X211" i="3"/>
  <c r="Y211" i="3"/>
  <c r="Z211" i="3"/>
  <c r="AA211" i="3"/>
  <c r="V212" i="3"/>
  <c r="W212" i="3"/>
  <c r="X212" i="3"/>
  <c r="Y212" i="3"/>
  <c r="Z212" i="3"/>
  <c r="AA212" i="3"/>
  <c r="V213" i="3"/>
  <c r="W213" i="3"/>
  <c r="X213" i="3"/>
  <c r="Y213" i="3"/>
  <c r="Z213" i="3"/>
  <c r="AA213" i="3"/>
  <c r="V214" i="3"/>
  <c r="W214" i="3"/>
  <c r="X214" i="3"/>
  <c r="Y214" i="3"/>
  <c r="Z214" i="3"/>
  <c r="AA214" i="3"/>
  <c r="V215" i="3"/>
  <c r="W215" i="3"/>
  <c r="X215" i="3"/>
  <c r="Y215" i="3"/>
  <c r="Z215" i="3"/>
  <c r="AA215" i="3"/>
  <c r="V216" i="3"/>
  <c r="W216" i="3"/>
  <c r="X216" i="3"/>
  <c r="Y216" i="3"/>
  <c r="Z216" i="3"/>
  <c r="AA216" i="3"/>
  <c r="V217" i="3"/>
  <c r="W217" i="3"/>
  <c r="X217" i="3"/>
  <c r="Y217" i="3"/>
  <c r="Z217" i="3"/>
  <c r="AA217" i="3"/>
  <c r="V218" i="3"/>
  <c r="W218" i="3"/>
  <c r="X218" i="3"/>
  <c r="Y218" i="3"/>
  <c r="Z218" i="3"/>
  <c r="AA218" i="3"/>
  <c r="V219" i="3"/>
  <c r="W219" i="3"/>
  <c r="X219" i="3"/>
  <c r="Y219" i="3"/>
  <c r="Z219" i="3"/>
  <c r="AA219" i="3"/>
  <c r="V220" i="3"/>
  <c r="W220" i="3"/>
  <c r="X220" i="3"/>
  <c r="Y220" i="3"/>
  <c r="Z220" i="3"/>
  <c r="AA220" i="3"/>
  <c r="V221" i="3"/>
  <c r="W221" i="3"/>
  <c r="X221" i="3"/>
  <c r="Y221" i="3"/>
  <c r="Z221" i="3"/>
  <c r="AA221" i="3"/>
  <c r="V222" i="3"/>
  <c r="W222" i="3"/>
  <c r="X222" i="3"/>
  <c r="Y222" i="3"/>
  <c r="Z222" i="3"/>
  <c r="AA222" i="3"/>
  <c r="V223" i="3"/>
  <c r="W223" i="3"/>
  <c r="X223" i="3"/>
  <c r="Y223" i="3"/>
  <c r="Z223" i="3"/>
  <c r="AA223" i="3"/>
  <c r="V224" i="3"/>
  <c r="W224" i="3"/>
  <c r="X224" i="3"/>
  <c r="Y224" i="3"/>
  <c r="Z224" i="3"/>
  <c r="AA224" i="3"/>
  <c r="V225" i="3"/>
  <c r="W225" i="3"/>
  <c r="X225" i="3"/>
  <c r="Y225" i="3"/>
  <c r="Z225" i="3"/>
  <c r="AA225" i="3"/>
  <c r="V226" i="3"/>
  <c r="W226" i="3"/>
  <c r="X226" i="3"/>
  <c r="Y226" i="3"/>
  <c r="Z226" i="3"/>
  <c r="AA226" i="3"/>
  <c r="V227" i="3"/>
  <c r="W227" i="3"/>
  <c r="X227" i="3"/>
  <c r="Y227" i="3"/>
  <c r="Z227" i="3"/>
  <c r="AA227" i="3"/>
  <c r="V228" i="3"/>
  <c r="W228" i="3"/>
  <c r="X228" i="3"/>
  <c r="Y228" i="3"/>
  <c r="Z228" i="3"/>
  <c r="AA228" i="3"/>
  <c r="V229" i="3"/>
  <c r="W229" i="3"/>
  <c r="X229" i="3"/>
  <c r="Y229" i="3"/>
  <c r="Z229" i="3"/>
  <c r="AA229" i="3"/>
  <c r="V230" i="3"/>
  <c r="W230" i="3"/>
  <c r="X230" i="3"/>
  <c r="Y230" i="3"/>
  <c r="Z230" i="3"/>
  <c r="AA230" i="3"/>
  <c r="V231" i="3"/>
  <c r="W231" i="3"/>
  <c r="X231" i="3"/>
  <c r="Y231" i="3"/>
  <c r="Z231" i="3"/>
  <c r="AA231" i="3"/>
  <c r="V232" i="3"/>
  <c r="W232" i="3"/>
  <c r="X232" i="3"/>
  <c r="Y232" i="3"/>
  <c r="Z232" i="3"/>
  <c r="AA232" i="3"/>
  <c r="V233" i="3"/>
  <c r="W233" i="3"/>
  <c r="X233" i="3"/>
  <c r="Y233" i="3"/>
  <c r="Z233" i="3"/>
  <c r="AA233" i="3"/>
  <c r="V234" i="3"/>
  <c r="W234" i="3"/>
  <c r="X234" i="3"/>
  <c r="Y234" i="3"/>
  <c r="Z234" i="3"/>
  <c r="AA234" i="3"/>
  <c r="V235" i="3"/>
  <c r="W235" i="3"/>
  <c r="X235" i="3"/>
  <c r="Y235" i="3"/>
  <c r="Z235" i="3"/>
  <c r="AA235" i="3"/>
  <c r="V236" i="3"/>
  <c r="W236" i="3"/>
  <c r="X236" i="3"/>
  <c r="Y236" i="3"/>
  <c r="Z236" i="3"/>
  <c r="AA236" i="3"/>
  <c r="V237" i="3"/>
  <c r="W237" i="3"/>
  <c r="X237" i="3"/>
  <c r="Y237" i="3"/>
  <c r="Z237" i="3"/>
  <c r="AA237" i="3"/>
  <c r="V238" i="3"/>
  <c r="W238" i="3"/>
  <c r="X238" i="3"/>
  <c r="Y238" i="3"/>
  <c r="Z238" i="3"/>
  <c r="AA238" i="3"/>
  <c r="V239" i="3"/>
  <c r="W239" i="3"/>
  <c r="X239" i="3"/>
  <c r="Y239" i="3"/>
  <c r="Z239" i="3"/>
  <c r="AA239" i="3"/>
  <c r="V240" i="3"/>
  <c r="W240" i="3"/>
  <c r="X240" i="3"/>
  <c r="Y240" i="3"/>
  <c r="Z240" i="3"/>
  <c r="AA240" i="3"/>
  <c r="V241" i="3"/>
  <c r="W241" i="3"/>
  <c r="X241" i="3"/>
  <c r="Y241" i="3"/>
  <c r="Z241" i="3"/>
  <c r="AA241" i="3"/>
  <c r="V242" i="3"/>
  <c r="W242" i="3"/>
  <c r="X242" i="3"/>
  <c r="Y242" i="3"/>
  <c r="Z242" i="3"/>
  <c r="AA242" i="3"/>
  <c r="V243" i="3"/>
  <c r="W243" i="3"/>
  <c r="X243" i="3"/>
  <c r="Y243" i="3"/>
  <c r="Z243" i="3"/>
  <c r="AA243" i="3"/>
  <c r="V244" i="3"/>
  <c r="W244" i="3"/>
  <c r="X244" i="3"/>
  <c r="Y244" i="3"/>
  <c r="Z244" i="3"/>
  <c r="AA244" i="3"/>
  <c r="V245" i="3"/>
  <c r="W245" i="3"/>
  <c r="X245" i="3"/>
  <c r="Y245" i="3"/>
  <c r="Z245" i="3"/>
  <c r="AA245" i="3"/>
  <c r="V246" i="3"/>
  <c r="W246" i="3"/>
  <c r="X246" i="3"/>
  <c r="Y246" i="3"/>
  <c r="Z246" i="3"/>
  <c r="AA246" i="3"/>
  <c r="V247" i="3"/>
  <c r="W247" i="3"/>
  <c r="X247" i="3"/>
  <c r="Y247" i="3"/>
  <c r="Z247" i="3"/>
  <c r="AA247" i="3"/>
  <c r="V248" i="3"/>
  <c r="W248" i="3"/>
  <c r="X248" i="3"/>
  <c r="Y248" i="3"/>
  <c r="Z248" i="3"/>
  <c r="AA248" i="3"/>
  <c r="V249" i="3"/>
  <c r="W249" i="3"/>
  <c r="X249" i="3"/>
  <c r="Y249" i="3"/>
  <c r="Z249" i="3"/>
  <c r="AA249" i="3"/>
  <c r="V250" i="3"/>
  <c r="W250" i="3"/>
  <c r="X250" i="3"/>
  <c r="Y250" i="3"/>
  <c r="Z250" i="3"/>
  <c r="AA250" i="3"/>
  <c r="V251" i="3"/>
  <c r="W251" i="3"/>
  <c r="X251" i="3"/>
  <c r="Y251" i="3"/>
  <c r="Z251" i="3"/>
  <c r="AA251" i="3"/>
  <c r="V252" i="3"/>
  <c r="W252" i="3"/>
  <c r="X252" i="3"/>
  <c r="Y252" i="3"/>
  <c r="Z252" i="3"/>
  <c r="AA252" i="3"/>
  <c r="V253" i="3"/>
  <c r="W253" i="3"/>
  <c r="X253" i="3"/>
  <c r="Y253" i="3"/>
  <c r="Z253" i="3"/>
  <c r="AA253" i="3"/>
  <c r="V254" i="3"/>
  <c r="W254" i="3"/>
  <c r="X254" i="3"/>
  <c r="Y254" i="3"/>
  <c r="Z254" i="3"/>
  <c r="AA254" i="3"/>
  <c r="V255" i="3"/>
  <c r="W255" i="3"/>
  <c r="X255" i="3"/>
  <c r="Y255" i="3"/>
  <c r="Z255" i="3"/>
  <c r="AA255" i="3"/>
  <c r="V256" i="3"/>
  <c r="W256" i="3"/>
  <c r="X256" i="3"/>
  <c r="Y256" i="3"/>
  <c r="Z256" i="3"/>
  <c r="AA256" i="3"/>
  <c r="V257" i="3"/>
  <c r="W257" i="3"/>
  <c r="X257" i="3"/>
  <c r="Y257" i="3"/>
  <c r="Z257" i="3"/>
  <c r="AA257" i="3"/>
  <c r="V258" i="3"/>
  <c r="W258" i="3"/>
  <c r="X258" i="3"/>
  <c r="Y258" i="3"/>
  <c r="Z258" i="3"/>
  <c r="AA258" i="3"/>
  <c r="V259" i="3"/>
  <c r="W259" i="3"/>
  <c r="X259" i="3"/>
  <c r="Y259" i="3"/>
  <c r="Z259" i="3"/>
  <c r="AA259" i="3"/>
  <c r="V260" i="3"/>
  <c r="W260" i="3"/>
  <c r="X260" i="3"/>
  <c r="Y260" i="3"/>
  <c r="Z260" i="3"/>
  <c r="AA260" i="3"/>
  <c r="V261" i="3"/>
  <c r="W261" i="3"/>
  <c r="X261" i="3"/>
  <c r="Y261" i="3"/>
  <c r="Z261" i="3"/>
  <c r="AA261" i="3"/>
  <c r="V262" i="3"/>
  <c r="W262" i="3"/>
  <c r="X262" i="3"/>
  <c r="Y262" i="3"/>
  <c r="Z262" i="3"/>
  <c r="AA262" i="3"/>
  <c r="V263" i="3"/>
  <c r="W263" i="3"/>
  <c r="X263" i="3"/>
  <c r="Y263" i="3"/>
  <c r="Z263" i="3"/>
  <c r="AA263" i="3"/>
  <c r="V264" i="3"/>
  <c r="W264" i="3"/>
  <c r="X264" i="3"/>
  <c r="Y264" i="3"/>
  <c r="Z264" i="3"/>
  <c r="AA264" i="3"/>
  <c r="V265" i="3"/>
  <c r="W265" i="3"/>
  <c r="X265" i="3"/>
  <c r="Y265" i="3"/>
  <c r="Z265" i="3"/>
  <c r="AA265" i="3"/>
  <c r="V266" i="3"/>
  <c r="W266" i="3"/>
  <c r="X266" i="3"/>
  <c r="Y266" i="3"/>
  <c r="Z266" i="3"/>
  <c r="AA266" i="3"/>
  <c r="V267" i="3"/>
  <c r="W267" i="3"/>
  <c r="X267" i="3"/>
  <c r="Y267" i="3"/>
  <c r="Z267" i="3"/>
  <c r="AA267" i="3"/>
  <c r="V268" i="3"/>
  <c r="W268" i="3"/>
  <c r="X268" i="3"/>
  <c r="Y268" i="3"/>
  <c r="Z268" i="3"/>
  <c r="AA268" i="3"/>
  <c r="V269" i="3"/>
  <c r="W269" i="3"/>
  <c r="X269" i="3"/>
  <c r="Y269" i="3"/>
  <c r="Z269" i="3"/>
  <c r="AA269" i="3"/>
  <c r="V270" i="3"/>
  <c r="W270" i="3"/>
  <c r="X270" i="3"/>
  <c r="Y270" i="3"/>
  <c r="Z270" i="3"/>
  <c r="AA270" i="3"/>
  <c r="V271" i="3"/>
  <c r="W271" i="3"/>
  <c r="X271" i="3"/>
  <c r="Y271" i="3"/>
  <c r="Z271" i="3"/>
  <c r="AA271" i="3"/>
  <c r="V272" i="3"/>
  <c r="W272" i="3"/>
  <c r="X272" i="3"/>
  <c r="Y272" i="3"/>
  <c r="Z272" i="3"/>
  <c r="AA272" i="3"/>
  <c r="V273" i="3"/>
  <c r="W273" i="3"/>
  <c r="X273" i="3"/>
  <c r="Y273" i="3"/>
  <c r="Z273" i="3"/>
  <c r="AA273" i="3"/>
  <c r="V274" i="3"/>
  <c r="W274" i="3"/>
  <c r="X274" i="3"/>
  <c r="Y274" i="3"/>
  <c r="Z274" i="3"/>
  <c r="AA274" i="3"/>
  <c r="V275" i="3"/>
  <c r="W275" i="3"/>
  <c r="X275" i="3"/>
  <c r="Y275" i="3"/>
  <c r="Z275" i="3"/>
  <c r="AA275" i="3"/>
  <c r="V276" i="3"/>
  <c r="W276" i="3"/>
  <c r="X276" i="3"/>
  <c r="Y276" i="3"/>
  <c r="Z276" i="3"/>
  <c r="AA276" i="3"/>
  <c r="V277" i="3"/>
  <c r="W277" i="3"/>
  <c r="X277" i="3"/>
  <c r="Y277" i="3"/>
  <c r="Z277" i="3"/>
  <c r="AA277" i="3"/>
  <c r="V278" i="3"/>
  <c r="W278" i="3"/>
  <c r="X278" i="3"/>
  <c r="Y278" i="3"/>
  <c r="Z278" i="3"/>
  <c r="AA278" i="3"/>
  <c r="V279" i="3"/>
  <c r="W279" i="3"/>
  <c r="X279" i="3"/>
  <c r="Y279" i="3"/>
  <c r="Z279" i="3"/>
  <c r="AA279" i="3"/>
  <c r="V280" i="3"/>
  <c r="W280" i="3"/>
  <c r="X280" i="3"/>
  <c r="Y280" i="3"/>
  <c r="Z280" i="3"/>
  <c r="AA280" i="3"/>
  <c r="V281" i="3"/>
  <c r="W281" i="3"/>
  <c r="X281" i="3"/>
  <c r="Y281" i="3"/>
  <c r="Z281" i="3"/>
  <c r="AA281" i="3"/>
  <c r="V282" i="3"/>
  <c r="W282" i="3"/>
  <c r="X282" i="3"/>
  <c r="Y282" i="3"/>
  <c r="Z282" i="3"/>
  <c r="AA282" i="3"/>
  <c r="V283" i="3"/>
  <c r="W283" i="3"/>
  <c r="X283" i="3"/>
  <c r="Y283" i="3"/>
  <c r="Z283" i="3"/>
  <c r="AA283" i="3"/>
  <c r="V284" i="3"/>
  <c r="W284" i="3"/>
  <c r="X284" i="3"/>
  <c r="Y284" i="3"/>
  <c r="Z284" i="3"/>
  <c r="AA284" i="3"/>
  <c r="V285" i="3"/>
  <c r="W285" i="3"/>
  <c r="X285" i="3"/>
  <c r="Y285" i="3"/>
  <c r="Z285" i="3"/>
  <c r="AA285" i="3"/>
  <c r="V286" i="3"/>
  <c r="W286" i="3"/>
  <c r="X286" i="3"/>
  <c r="Y286" i="3"/>
  <c r="Z286" i="3"/>
  <c r="AA286" i="3"/>
  <c r="V287" i="3"/>
  <c r="W287" i="3"/>
  <c r="X287" i="3"/>
  <c r="Y287" i="3"/>
  <c r="Z287" i="3"/>
  <c r="AA287" i="3"/>
  <c r="V288" i="3"/>
  <c r="W288" i="3"/>
  <c r="X288" i="3"/>
  <c r="Y288" i="3"/>
  <c r="Z288" i="3"/>
  <c r="AA288" i="3"/>
  <c r="V289" i="3"/>
  <c r="W289" i="3"/>
  <c r="X289" i="3"/>
  <c r="Y289" i="3"/>
  <c r="Z289" i="3"/>
  <c r="AA289" i="3"/>
  <c r="V290" i="3"/>
  <c r="W290" i="3"/>
  <c r="X290" i="3"/>
  <c r="Y290" i="3"/>
  <c r="Z290" i="3"/>
  <c r="AA290" i="3"/>
  <c r="V291" i="3"/>
  <c r="W291" i="3"/>
  <c r="X291" i="3"/>
  <c r="Y291" i="3"/>
  <c r="Z291" i="3"/>
  <c r="AA291" i="3"/>
  <c r="V292" i="3"/>
  <c r="W292" i="3"/>
  <c r="X292" i="3"/>
  <c r="Y292" i="3"/>
  <c r="Z292" i="3"/>
  <c r="AA292" i="3"/>
  <c r="V293" i="3"/>
  <c r="W293" i="3"/>
  <c r="X293" i="3"/>
  <c r="Y293" i="3"/>
  <c r="Z293" i="3"/>
  <c r="AA293" i="3"/>
  <c r="V294" i="3"/>
  <c r="W294" i="3"/>
  <c r="X294" i="3"/>
  <c r="Y294" i="3"/>
  <c r="Z294" i="3"/>
  <c r="AA294" i="3"/>
  <c r="V295" i="3"/>
  <c r="W295" i="3"/>
  <c r="X295" i="3"/>
  <c r="Y295" i="3"/>
  <c r="Z295" i="3"/>
  <c r="AA295" i="3"/>
  <c r="V296" i="3"/>
  <c r="W296" i="3"/>
  <c r="X296" i="3"/>
  <c r="Y296" i="3"/>
  <c r="Z296" i="3"/>
  <c r="AA296" i="3"/>
  <c r="V297" i="3"/>
  <c r="W297" i="3"/>
  <c r="X297" i="3"/>
  <c r="Y297" i="3"/>
  <c r="Z297" i="3"/>
  <c r="AA297" i="3"/>
  <c r="V298" i="3"/>
  <c r="W298" i="3"/>
  <c r="X298" i="3"/>
  <c r="Y298" i="3"/>
  <c r="Z298" i="3"/>
  <c r="AA298" i="3"/>
  <c r="V299" i="3"/>
  <c r="W299" i="3"/>
  <c r="X299" i="3"/>
  <c r="Y299" i="3"/>
  <c r="Z299" i="3"/>
  <c r="AA299" i="3"/>
  <c r="V300" i="3"/>
  <c r="W300" i="3"/>
  <c r="X300" i="3"/>
  <c r="Y300" i="3"/>
  <c r="Z300" i="3"/>
  <c r="AA300" i="3"/>
  <c r="V301" i="3"/>
  <c r="W301" i="3"/>
  <c r="X301" i="3"/>
  <c r="Y301" i="3"/>
  <c r="Z301" i="3"/>
  <c r="AA301" i="3"/>
  <c r="V302" i="3"/>
  <c r="W302" i="3"/>
  <c r="X302" i="3"/>
  <c r="Y302" i="3"/>
  <c r="Z302" i="3"/>
  <c r="AA302" i="3"/>
  <c r="V303" i="3"/>
  <c r="W303" i="3"/>
  <c r="X303" i="3"/>
  <c r="Y303" i="3"/>
  <c r="Z303" i="3"/>
  <c r="AA303" i="3"/>
  <c r="V304" i="3"/>
  <c r="W304" i="3"/>
  <c r="X304" i="3"/>
  <c r="Y304" i="3"/>
  <c r="Z304" i="3"/>
  <c r="AA304" i="3"/>
  <c r="V305" i="3"/>
  <c r="W305" i="3"/>
  <c r="X305" i="3"/>
  <c r="Y305" i="3"/>
  <c r="Z305" i="3"/>
  <c r="AA305" i="3"/>
  <c r="V306" i="3"/>
  <c r="W306" i="3"/>
  <c r="X306" i="3"/>
  <c r="Y306" i="3"/>
  <c r="Z306" i="3"/>
  <c r="AA306" i="3"/>
  <c r="V307" i="3"/>
  <c r="W307" i="3"/>
  <c r="X307" i="3"/>
  <c r="Y307" i="3"/>
  <c r="Z307" i="3"/>
  <c r="AA307" i="3"/>
  <c r="V308" i="3"/>
  <c r="W308" i="3"/>
  <c r="X308" i="3"/>
  <c r="Y308" i="3"/>
  <c r="Z308" i="3"/>
  <c r="AA308" i="3"/>
  <c r="V309" i="3"/>
  <c r="W309" i="3"/>
  <c r="X309" i="3"/>
  <c r="Y309" i="3"/>
  <c r="Z309" i="3"/>
  <c r="AA309" i="3"/>
  <c r="V310" i="3"/>
  <c r="W310" i="3"/>
  <c r="X310" i="3"/>
  <c r="Y310" i="3"/>
  <c r="Z310" i="3"/>
  <c r="AA310" i="3"/>
  <c r="V311" i="3"/>
  <c r="W311" i="3"/>
  <c r="X311" i="3"/>
  <c r="Y311" i="3"/>
  <c r="Z311" i="3"/>
  <c r="AA311" i="3"/>
  <c r="V312" i="3"/>
  <c r="W312" i="3"/>
  <c r="X312" i="3"/>
  <c r="Y312" i="3"/>
  <c r="Z312" i="3"/>
  <c r="AA312" i="3"/>
  <c r="V313" i="3"/>
  <c r="W313" i="3"/>
  <c r="X313" i="3"/>
  <c r="Y313" i="3"/>
  <c r="Z313" i="3"/>
  <c r="AA313" i="3"/>
  <c r="V314" i="3"/>
  <c r="W314" i="3"/>
  <c r="X314" i="3"/>
  <c r="Y314" i="3"/>
  <c r="Z314" i="3"/>
  <c r="AA314" i="3"/>
  <c r="V315" i="3"/>
  <c r="W315" i="3"/>
  <c r="X315" i="3"/>
  <c r="Y315" i="3"/>
  <c r="Z315" i="3"/>
  <c r="AA315" i="3"/>
  <c r="V316" i="3"/>
  <c r="W316" i="3"/>
  <c r="X316" i="3"/>
  <c r="Y316" i="3"/>
  <c r="Z316" i="3"/>
  <c r="AA316" i="3"/>
  <c r="V317" i="3"/>
  <c r="W317" i="3"/>
  <c r="X317" i="3"/>
  <c r="Y317" i="3"/>
  <c r="Z317" i="3"/>
  <c r="AA317" i="3"/>
  <c r="V318" i="3"/>
  <c r="W318" i="3"/>
  <c r="X318" i="3"/>
  <c r="Y318" i="3"/>
  <c r="Z318" i="3"/>
  <c r="AA318" i="3"/>
  <c r="V319" i="3"/>
  <c r="W319" i="3"/>
  <c r="X319" i="3"/>
  <c r="Y319" i="3"/>
  <c r="Z319" i="3"/>
  <c r="AA319" i="3"/>
  <c r="V320" i="3"/>
  <c r="W320" i="3"/>
  <c r="X320" i="3"/>
  <c r="Y320" i="3"/>
  <c r="Z320" i="3"/>
  <c r="AA320" i="3"/>
  <c r="V321" i="3"/>
  <c r="W321" i="3"/>
  <c r="X321" i="3"/>
  <c r="Y321" i="3"/>
  <c r="Z321" i="3"/>
  <c r="AA321" i="3"/>
  <c r="V322" i="3"/>
  <c r="W322" i="3"/>
  <c r="X322" i="3"/>
  <c r="Y322" i="3"/>
  <c r="Z322" i="3"/>
  <c r="AA322" i="3"/>
  <c r="V323" i="3"/>
  <c r="W323" i="3"/>
  <c r="X323" i="3"/>
  <c r="Y323" i="3"/>
  <c r="Z323" i="3"/>
  <c r="AA323" i="3"/>
  <c r="V324" i="3"/>
  <c r="W324" i="3"/>
  <c r="X324" i="3"/>
  <c r="Y324" i="3"/>
  <c r="Z324" i="3"/>
  <c r="AA324" i="3"/>
  <c r="V325" i="3"/>
  <c r="W325" i="3"/>
  <c r="X325" i="3"/>
  <c r="Y325" i="3"/>
  <c r="Z325" i="3"/>
  <c r="AA325" i="3"/>
  <c r="V326" i="3"/>
  <c r="W326" i="3"/>
  <c r="X326" i="3"/>
  <c r="Y326" i="3"/>
  <c r="Z326" i="3"/>
  <c r="AA326" i="3"/>
  <c r="V327" i="3"/>
  <c r="W327" i="3"/>
  <c r="X327" i="3"/>
  <c r="Y327" i="3"/>
  <c r="Z327" i="3"/>
  <c r="AA327" i="3"/>
  <c r="V328" i="3"/>
  <c r="W328" i="3"/>
  <c r="X328" i="3"/>
  <c r="Y328" i="3"/>
  <c r="Z328" i="3"/>
  <c r="AA328" i="3"/>
  <c r="V329" i="3"/>
  <c r="W329" i="3"/>
  <c r="X329" i="3"/>
  <c r="Y329" i="3"/>
  <c r="Z329" i="3"/>
  <c r="AA329" i="3"/>
  <c r="V330" i="3"/>
  <c r="W330" i="3"/>
  <c r="X330" i="3"/>
  <c r="Y330" i="3"/>
  <c r="Z330" i="3"/>
  <c r="AA330" i="3"/>
  <c r="V331" i="3"/>
  <c r="W331" i="3"/>
  <c r="X331" i="3"/>
  <c r="Y331" i="3"/>
  <c r="Z331" i="3"/>
  <c r="AA331" i="3"/>
  <c r="V332" i="3"/>
  <c r="W332" i="3"/>
  <c r="X332" i="3"/>
  <c r="Y332" i="3"/>
  <c r="Z332" i="3"/>
  <c r="AA332" i="3"/>
  <c r="V333" i="3"/>
  <c r="W333" i="3"/>
  <c r="X333" i="3"/>
  <c r="Y333" i="3"/>
  <c r="Z333" i="3"/>
  <c r="AA333" i="3"/>
  <c r="V334" i="3"/>
  <c r="W334" i="3"/>
  <c r="X334" i="3"/>
  <c r="Y334" i="3"/>
  <c r="Z334" i="3"/>
  <c r="AA334" i="3"/>
  <c r="V335" i="3"/>
  <c r="W335" i="3"/>
  <c r="X335" i="3"/>
  <c r="Y335" i="3"/>
  <c r="Z335" i="3"/>
  <c r="AA335" i="3"/>
  <c r="V336" i="3"/>
  <c r="W336" i="3"/>
  <c r="X336" i="3"/>
  <c r="Y336" i="3"/>
  <c r="Z336" i="3"/>
  <c r="AA336" i="3"/>
  <c r="V337" i="3"/>
  <c r="W337" i="3"/>
  <c r="X337" i="3"/>
  <c r="Y337" i="3"/>
  <c r="Z337" i="3"/>
  <c r="AA337" i="3"/>
  <c r="V338" i="3"/>
  <c r="W338" i="3"/>
  <c r="X338" i="3"/>
  <c r="Y338" i="3"/>
  <c r="Z338" i="3"/>
  <c r="AA338" i="3"/>
  <c r="V339" i="3"/>
  <c r="W339" i="3"/>
  <c r="X339" i="3"/>
  <c r="Y339" i="3"/>
  <c r="Z339" i="3"/>
  <c r="AA339" i="3"/>
  <c r="V340" i="3"/>
  <c r="W340" i="3"/>
  <c r="X340" i="3"/>
  <c r="Y340" i="3"/>
  <c r="Z340" i="3"/>
  <c r="AA340" i="3"/>
  <c r="V341" i="3"/>
  <c r="W341" i="3"/>
  <c r="X341" i="3"/>
  <c r="Y341" i="3"/>
  <c r="Z341" i="3"/>
  <c r="AA341" i="3"/>
  <c r="V342" i="3"/>
  <c r="W342" i="3"/>
  <c r="X342" i="3"/>
  <c r="Y342" i="3"/>
  <c r="Z342" i="3"/>
  <c r="AA342" i="3"/>
  <c r="V343" i="3"/>
  <c r="W343" i="3"/>
  <c r="X343" i="3"/>
  <c r="Y343" i="3"/>
  <c r="Z343" i="3"/>
  <c r="AA343" i="3"/>
  <c r="V344" i="3"/>
  <c r="W344" i="3"/>
  <c r="X344" i="3"/>
  <c r="Y344" i="3"/>
  <c r="Z344" i="3"/>
  <c r="AA344" i="3"/>
  <c r="V345" i="3"/>
  <c r="W345" i="3"/>
  <c r="X345" i="3"/>
  <c r="Y345" i="3"/>
  <c r="Z345" i="3"/>
  <c r="AA345" i="3"/>
  <c r="V346" i="3"/>
  <c r="W346" i="3"/>
  <c r="X346" i="3"/>
  <c r="Y346" i="3"/>
  <c r="Z346" i="3"/>
  <c r="AA346" i="3"/>
  <c r="V347" i="3"/>
  <c r="W347" i="3"/>
  <c r="X347" i="3"/>
  <c r="Y347" i="3"/>
  <c r="Z347" i="3"/>
  <c r="AA347" i="3"/>
  <c r="V348" i="3"/>
  <c r="W348" i="3"/>
  <c r="X348" i="3"/>
  <c r="Y348" i="3"/>
  <c r="Z348" i="3"/>
  <c r="AA348" i="3"/>
  <c r="V349" i="3"/>
  <c r="W349" i="3"/>
  <c r="X349" i="3"/>
  <c r="Y349" i="3"/>
  <c r="Z349" i="3"/>
  <c r="AA349" i="3"/>
  <c r="V350" i="3"/>
  <c r="W350" i="3"/>
  <c r="X350" i="3"/>
  <c r="Y350" i="3"/>
  <c r="Z350" i="3"/>
  <c r="AA350" i="3"/>
  <c r="V351" i="3"/>
  <c r="W351" i="3"/>
  <c r="X351" i="3"/>
  <c r="Y351" i="3"/>
  <c r="Z351" i="3"/>
  <c r="AA351" i="3"/>
  <c r="V352" i="3"/>
  <c r="W352" i="3"/>
  <c r="X352" i="3"/>
  <c r="Y352" i="3"/>
  <c r="Z352" i="3"/>
  <c r="AA352" i="3"/>
  <c r="V353" i="3"/>
  <c r="W353" i="3"/>
  <c r="X353" i="3"/>
  <c r="Y353" i="3"/>
  <c r="Z353" i="3"/>
  <c r="AA353" i="3"/>
  <c r="V354" i="3"/>
  <c r="W354" i="3"/>
  <c r="X354" i="3"/>
  <c r="Y354" i="3"/>
  <c r="Z354" i="3"/>
  <c r="AA354" i="3"/>
  <c r="V355" i="3"/>
  <c r="W355" i="3"/>
  <c r="X355" i="3"/>
  <c r="Y355" i="3"/>
  <c r="Z355" i="3"/>
  <c r="AA355" i="3"/>
  <c r="V356" i="3"/>
  <c r="W356" i="3"/>
  <c r="X356" i="3"/>
  <c r="Y356" i="3"/>
  <c r="Z356" i="3"/>
  <c r="AA356" i="3"/>
  <c r="V357" i="3"/>
  <c r="W357" i="3"/>
  <c r="X357" i="3"/>
  <c r="Y357" i="3"/>
  <c r="Z357" i="3"/>
  <c r="AA357" i="3"/>
  <c r="V358" i="3"/>
  <c r="W358" i="3"/>
  <c r="X358" i="3"/>
  <c r="Y358" i="3"/>
  <c r="Z358" i="3"/>
  <c r="AA358" i="3"/>
  <c r="V359" i="3"/>
  <c r="W359" i="3"/>
  <c r="X359" i="3"/>
  <c r="Y359" i="3"/>
  <c r="Z359" i="3"/>
  <c r="AA359" i="3"/>
  <c r="V360" i="3"/>
  <c r="W360" i="3"/>
  <c r="X360" i="3"/>
  <c r="Y360" i="3"/>
  <c r="Z360" i="3"/>
  <c r="AA360" i="3"/>
  <c r="V361" i="3"/>
  <c r="W361" i="3"/>
  <c r="X361" i="3"/>
  <c r="Y361" i="3"/>
  <c r="Z361" i="3"/>
  <c r="AA361" i="3"/>
  <c r="V362" i="3"/>
  <c r="W362" i="3"/>
  <c r="X362" i="3"/>
  <c r="Y362" i="3"/>
  <c r="Z362" i="3"/>
  <c r="AA362" i="3"/>
  <c r="V363" i="3"/>
  <c r="W363" i="3"/>
  <c r="X363" i="3"/>
  <c r="Y363" i="3"/>
  <c r="Z363" i="3"/>
  <c r="AA363" i="3"/>
  <c r="V364" i="3"/>
  <c r="W364" i="3"/>
  <c r="X364" i="3"/>
  <c r="Y364" i="3"/>
  <c r="Z364" i="3"/>
  <c r="AA364" i="3"/>
  <c r="V365" i="3"/>
  <c r="W365" i="3"/>
  <c r="X365" i="3"/>
  <c r="Y365" i="3"/>
  <c r="Z365" i="3"/>
  <c r="AA365" i="3"/>
  <c r="V366" i="3"/>
  <c r="W366" i="3"/>
  <c r="X366" i="3"/>
  <c r="Y366" i="3"/>
  <c r="Z366" i="3"/>
  <c r="AA366" i="3"/>
  <c r="V367" i="3"/>
  <c r="W367" i="3"/>
  <c r="X367" i="3"/>
  <c r="Y367" i="3"/>
  <c r="Z367" i="3"/>
  <c r="AA367" i="3"/>
  <c r="V368" i="3"/>
  <c r="W368" i="3"/>
  <c r="X368" i="3"/>
  <c r="Y368" i="3"/>
  <c r="Z368" i="3"/>
  <c r="AA368" i="3"/>
  <c r="V369" i="3"/>
  <c r="W369" i="3"/>
  <c r="X369" i="3"/>
  <c r="Y369" i="3"/>
  <c r="Z369" i="3"/>
  <c r="AA369" i="3"/>
  <c r="V370" i="3"/>
  <c r="W370" i="3"/>
  <c r="X370" i="3"/>
  <c r="Y370" i="3"/>
  <c r="Z370" i="3"/>
  <c r="AA370" i="3"/>
  <c r="V371" i="3"/>
  <c r="W371" i="3"/>
  <c r="X371" i="3"/>
  <c r="Y371" i="3"/>
  <c r="Z371" i="3"/>
  <c r="AA371" i="3"/>
  <c r="V372" i="3"/>
  <c r="W372" i="3"/>
  <c r="X372" i="3"/>
  <c r="Y372" i="3"/>
  <c r="Z372" i="3"/>
  <c r="AA372" i="3"/>
  <c r="V373" i="3"/>
  <c r="W373" i="3"/>
  <c r="X373" i="3"/>
  <c r="Y373" i="3"/>
  <c r="Z373" i="3"/>
  <c r="AA373" i="3"/>
  <c r="V374" i="3"/>
  <c r="W374" i="3"/>
  <c r="X374" i="3"/>
  <c r="Y374" i="3"/>
  <c r="Z374" i="3"/>
  <c r="AA374" i="3"/>
  <c r="V375" i="3"/>
  <c r="W375" i="3"/>
  <c r="X375" i="3"/>
  <c r="Y375" i="3"/>
  <c r="Z375" i="3"/>
  <c r="AA375" i="3"/>
  <c r="V376" i="3"/>
  <c r="W376" i="3"/>
  <c r="X376" i="3"/>
  <c r="Y376" i="3"/>
  <c r="Z376" i="3"/>
  <c r="AA376" i="3"/>
  <c r="V377" i="3"/>
  <c r="W377" i="3"/>
  <c r="X377" i="3"/>
  <c r="Y377" i="3"/>
  <c r="Z377" i="3"/>
  <c r="AA377" i="3"/>
  <c r="V378" i="3"/>
  <c r="W378" i="3"/>
  <c r="X378" i="3"/>
  <c r="Y378" i="3"/>
  <c r="Z378" i="3"/>
  <c r="AA378" i="3"/>
  <c r="V379" i="3"/>
  <c r="W379" i="3"/>
  <c r="X379" i="3"/>
  <c r="Y379" i="3"/>
  <c r="Z379" i="3"/>
  <c r="AA379" i="3"/>
  <c r="V380" i="3"/>
  <c r="W380" i="3"/>
  <c r="X380" i="3"/>
  <c r="Y380" i="3"/>
  <c r="Z380" i="3"/>
  <c r="AA380" i="3"/>
  <c r="V381" i="3"/>
  <c r="W381" i="3"/>
  <c r="X381" i="3"/>
  <c r="Y381" i="3"/>
  <c r="Z381" i="3"/>
  <c r="AA381" i="3"/>
  <c r="V382" i="3"/>
  <c r="W382" i="3"/>
  <c r="X382" i="3"/>
  <c r="Y382" i="3"/>
  <c r="Z382" i="3"/>
  <c r="AA382" i="3"/>
  <c r="V383" i="3"/>
  <c r="W383" i="3"/>
  <c r="X383" i="3"/>
  <c r="Y383" i="3"/>
  <c r="Z383" i="3"/>
  <c r="AA383" i="3"/>
  <c r="V384" i="3"/>
  <c r="W384" i="3"/>
  <c r="X384" i="3"/>
  <c r="Y384" i="3"/>
  <c r="Z384" i="3"/>
  <c r="AA384" i="3"/>
  <c r="V385" i="3"/>
  <c r="W385" i="3"/>
  <c r="X385" i="3"/>
  <c r="Y385" i="3"/>
  <c r="Z385" i="3"/>
  <c r="AA385" i="3"/>
  <c r="V386" i="3"/>
  <c r="W386" i="3"/>
  <c r="X386" i="3"/>
  <c r="Y386" i="3"/>
  <c r="Z386" i="3"/>
  <c r="AA386" i="3"/>
  <c r="V387" i="3"/>
  <c r="W387" i="3"/>
  <c r="X387" i="3"/>
  <c r="Y387" i="3"/>
  <c r="Z387" i="3"/>
  <c r="AA387" i="3"/>
  <c r="V388" i="3"/>
  <c r="W388" i="3"/>
  <c r="X388" i="3"/>
  <c r="Y388" i="3"/>
  <c r="Z388" i="3"/>
  <c r="AA388" i="3"/>
  <c r="V389" i="3"/>
  <c r="W389" i="3"/>
  <c r="X389" i="3"/>
  <c r="Y389" i="3"/>
  <c r="Z389" i="3"/>
  <c r="AA389" i="3"/>
  <c r="V390" i="3"/>
  <c r="W390" i="3"/>
  <c r="X390" i="3"/>
  <c r="Y390" i="3"/>
  <c r="Z390" i="3"/>
  <c r="AA390" i="3"/>
  <c r="V391" i="3"/>
  <c r="W391" i="3"/>
  <c r="X391" i="3"/>
  <c r="Y391" i="3"/>
  <c r="Z391" i="3"/>
  <c r="AA391" i="3"/>
  <c r="V392" i="3"/>
  <c r="W392" i="3"/>
  <c r="X392" i="3"/>
  <c r="Y392" i="3"/>
  <c r="Z392" i="3"/>
  <c r="AA392" i="3"/>
  <c r="V393" i="3"/>
  <c r="W393" i="3"/>
  <c r="X393" i="3"/>
  <c r="Y393" i="3"/>
  <c r="Z393" i="3"/>
  <c r="AA393" i="3"/>
  <c r="V394" i="3"/>
  <c r="W394" i="3"/>
  <c r="X394" i="3"/>
  <c r="Y394" i="3"/>
  <c r="Z394" i="3"/>
  <c r="AA394" i="3"/>
  <c r="V395" i="3"/>
  <c r="W395" i="3"/>
  <c r="X395" i="3"/>
  <c r="Y395" i="3"/>
  <c r="Z395" i="3"/>
  <c r="AA395" i="3"/>
  <c r="V396" i="3"/>
  <c r="W396" i="3"/>
  <c r="X396" i="3"/>
  <c r="Y396" i="3"/>
  <c r="Z396" i="3"/>
  <c r="AA396" i="3"/>
  <c r="V397" i="3"/>
  <c r="W397" i="3"/>
  <c r="X397" i="3"/>
  <c r="Y397" i="3"/>
  <c r="Z397" i="3"/>
  <c r="AA397" i="3"/>
  <c r="V398" i="3"/>
  <c r="W398" i="3"/>
  <c r="X398" i="3"/>
  <c r="Y398" i="3"/>
  <c r="Z398" i="3"/>
  <c r="AA398" i="3"/>
  <c r="V399" i="3"/>
  <c r="W399" i="3"/>
  <c r="X399" i="3"/>
  <c r="Y399" i="3"/>
  <c r="Z399" i="3"/>
  <c r="AA399" i="3"/>
  <c r="V400" i="3"/>
  <c r="W400" i="3"/>
  <c r="X400" i="3"/>
  <c r="Y400" i="3"/>
  <c r="Z400" i="3"/>
  <c r="AA400" i="3"/>
  <c r="V401" i="3"/>
  <c r="W401" i="3"/>
  <c r="X401" i="3"/>
  <c r="Y401" i="3"/>
  <c r="Z401" i="3"/>
  <c r="AA401" i="3"/>
  <c r="V402" i="3"/>
  <c r="W402" i="3"/>
  <c r="X402" i="3"/>
  <c r="Y402" i="3"/>
  <c r="Z402" i="3"/>
  <c r="AA402" i="3"/>
  <c r="V403" i="3"/>
  <c r="W403" i="3"/>
  <c r="X403" i="3"/>
  <c r="Y403" i="3"/>
  <c r="Z403" i="3"/>
  <c r="AA403" i="3"/>
  <c r="V404" i="3"/>
  <c r="W404" i="3"/>
  <c r="X404" i="3"/>
  <c r="Y404" i="3"/>
  <c r="Z404" i="3"/>
  <c r="AA404" i="3"/>
  <c r="V405" i="3"/>
  <c r="W405" i="3"/>
  <c r="X405" i="3"/>
  <c r="Y405" i="3"/>
  <c r="Z405" i="3"/>
  <c r="AA405" i="3"/>
  <c r="V406" i="3"/>
  <c r="W406" i="3"/>
  <c r="X406" i="3"/>
  <c r="Y406" i="3"/>
  <c r="Z406" i="3"/>
  <c r="AA406" i="3"/>
  <c r="V407" i="3"/>
  <c r="W407" i="3"/>
  <c r="X407" i="3"/>
  <c r="Y407" i="3"/>
  <c r="Z407" i="3"/>
  <c r="AA407" i="3"/>
  <c r="V408" i="3"/>
  <c r="W408" i="3"/>
  <c r="X408" i="3"/>
  <c r="Y408" i="3"/>
  <c r="Z408" i="3"/>
  <c r="AA408" i="3"/>
  <c r="V409" i="3"/>
  <c r="W409" i="3"/>
  <c r="X409" i="3"/>
  <c r="Y409" i="3"/>
  <c r="Z409" i="3"/>
  <c r="AA409" i="3"/>
  <c r="V410" i="3"/>
  <c r="W410" i="3"/>
  <c r="X410" i="3"/>
  <c r="Y410" i="3"/>
  <c r="Z410" i="3"/>
  <c r="AA410" i="3"/>
  <c r="V411" i="3"/>
  <c r="W411" i="3"/>
  <c r="X411" i="3"/>
  <c r="Y411" i="3"/>
  <c r="Z411" i="3"/>
  <c r="AA411" i="3"/>
  <c r="V412" i="3"/>
  <c r="W412" i="3"/>
  <c r="X412" i="3"/>
  <c r="Y412" i="3"/>
  <c r="Z412" i="3"/>
  <c r="AA412" i="3"/>
  <c r="V413" i="3"/>
  <c r="W413" i="3"/>
  <c r="X413" i="3"/>
  <c r="Y413" i="3"/>
  <c r="Z413" i="3"/>
  <c r="AA413" i="3"/>
  <c r="V414" i="3"/>
  <c r="W414" i="3"/>
  <c r="X414" i="3"/>
  <c r="Y414" i="3"/>
  <c r="Z414" i="3"/>
  <c r="AA414" i="3"/>
  <c r="V415" i="3"/>
  <c r="W415" i="3"/>
  <c r="X415" i="3"/>
  <c r="Y415" i="3"/>
  <c r="Z415" i="3"/>
  <c r="AA415" i="3"/>
  <c r="V416" i="3"/>
  <c r="W416" i="3"/>
  <c r="X416" i="3"/>
  <c r="Y416" i="3"/>
  <c r="Z416" i="3"/>
  <c r="AA416" i="3"/>
  <c r="V417" i="3"/>
  <c r="W417" i="3"/>
  <c r="X417" i="3"/>
  <c r="Y417" i="3"/>
  <c r="Z417" i="3"/>
  <c r="AA417" i="3"/>
  <c r="V418" i="3"/>
  <c r="W418" i="3"/>
  <c r="X418" i="3"/>
  <c r="Y418" i="3"/>
  <c r="Z418" i="3"/>
  <c r="AA418" i="3"/>
  <c r="V419" i="3"/>
  <c r="W419" i="3"/>
  <c r="X419" i="3"/>
  <c r="Y419" i="3"/>
  <c r="Z419" i="3"/>
  <c r="AA419" i="3"/>
  <c r="V420" i="3"/>
  <c r="W420" i="3"/>
  <c r="X420" i="3"/>
  <c r="Y420" i="3"/>
  <c r="Z420" i="3"/>
  <c r="AA420" i="3"/>
  <c r="V421" i="3"/>
  <c r="W421" i="3"/>
  <c r="X421" i="3"/>
  <c r="Y421" i="3"/>
  <c r="Z421" i="3"/>
  <c r="AA421" i="3"/>
  <c r="V422" i="3"/>
  <c r="W422" i="3"/>
  <c r="X422" i="3"/>
  <c r="Y422" i="3"/>
  <c r="Z422" i="3"/>
  <c r="AA422" i="3"/>
  <c r="V423" i="3"/>
  <c r="W423" i="3"/>
  <c r="X423" i="3"/>
  <c r="Y423" i="3"/>
  <c r="Z423" i="3"/>
  <c r="AA423" i="3"/>
  <c r="V424" i="3"/>
  <c r="W424" i="3"/>
  <c r="X424" i="3"/>
  <c r="Y424" i="3"/>
  <c r="Z424" i="3"/>
  <c r="AA424" i="3"/>
  <c r="V425" i="3"/>
  <c r="W425" i="3"/>
  <c r="X425" i="3"/>
  <c r="Y425" i="3"/>
  <c r="Z425" i="3"/>
  <c r="AA425" i="3"/>
  <c r="V426" i="3"/>
  <c r="W426" i="3"/>
  <c r="X426" i="3"/>
  <c r="Y426" i="3"/>
  <c r="Z426" i="3"/>
  <c r="AA426" i="3"/>
  <c r="V427" i="3"/>
  <c r="W427" i="3"/>
  <c r="X427" i="3"/>
  <c r="Y427" i="3"/>
  <c r="Z427" i="3"/>
  <c r="AA427" i="3"/>
  <c r="V428" i="3"/>
  <c r="W428" i="3"/>
  <c r="X428" i="3"/>
  <c r="Y428" i="3"/>
  <c r="Z428" i="3"/>
  <c r="AA428" i="3"/>
  <c r="V429" i="3"/>
  <c r="W429" i="3"/>
  <c r="X429" i="3"/>
  <c r="Y429" i="3"/>
  <c r="Z429" i="3"/>
  <c r="AA429" i="3"/>
  <c r="V430" i="3"/>
  <c r="W430" i="3"/>
  <c r="X430" i="3"/>
  <c r="Y430" i="3"/>
  <c r="Z430" i="3"/>
  <c r="AA430" i="3"/>
  <c r="V431" i="3"/>
  <c r="W431" i="3"/>
  <c r="X431" i="3"/>
  <c r="Y431" i="3"/>
  <c r="Z431" i="3"/>
  <c r="AA431" i="3"/>
  <c r="V432" i="3"/>
  <c r="W432" i="3"/>
  <c r="X432" i="3"/>
  <c r="Y432" i="3"/>
  <c r="Z432" i="3"/>
  <c r="AA432" i="3"/>
  <c r="V433" i="3"/>
  <c r="W433" i="3"/>
  <c r="X433" i="3"/>
  <c r="Y433" i="3"/>
  <c r="Z433" i="3"/>
  <c r="AA433" i="3"/>
  <c r="V434" i="3"/>
  <c r="W434" i="3"/>
  <c r="X434" i="3"/>
  <c r="Y434" i="3"/>
  <c r="Z434" i="3"/>
  <c r="AA434" i="3"/>
  <c r="V435" i="3"/>
  <c r="W435" i="3"/>
  <c r="X435" i="3"/>
  <c r="Y435" i="3"/>
  <c r="Z435" i="3"/>
  <c r="AA435" i="3"/>
  <c r="V436" i="3"/>
  <c r="W436" i="3"/>
  <c r="X436" i="3"/>
  <c r="Y436" i="3"/>
  <c r="Z436" i="3"/>
  <c r="AA436" i="3"/>
  <c r="V437" i="3"/>
  <c r="W437" i="3"/>
  <c r="X437" i="3"/>
  <c r="Y437" i="3"/>
  <c r="Z437" i="3"/>
  <c r="AA437" i="3"/>
  <c r="V438" i="3"/>
  <c r="W438" i="3"/>
  <c r="X438" i="3"/>
  <c r="Y438" i="3"/>
  <c r="Z438" i="3"/>
  <c r="AA438" i="3"/>
  <c r="V439" i="3"/>
  <c r="W439" i="3"/>
  <c r="X439" i="3"/>
  <c r="Y439" i="3"/>
  <c r="Z439" i="3"/>
  <c r="AA439" i="3"/>
  <c r="V440" i="3"/>
  <c r="W440" i="3"/>
  <c r="X440" i="3"/>
  <c r="Y440" i="3"/>
  <c r="Z440" i="3"/>
  <c r="AA440" i="3"/>
  <c r="V441" i="3"/>
  <c r="W441" i="3"/>
  <c r="X441" i="3"/>
  <c r="Y441" i="3"/>
  <c r="Z441" i="3"/>
  <c r="AA441" i="3"/>
  <c r="V442" i="3"/>
  <c r="W442" i="3"/>
  <c r="X442" i="3"/>
  <c r="Y442" i="3"/>
  <c r="Z442" i="3"/>
  <c r="AA442" i="3"/>
  <c r="V443" i="3"/>
  <c r="W443" i="3"/>
  <c r="X443" i="3"/>
  <c r="Y443" i="3"/>
  <c r="Z443" i="3"/>
  <c r="AA443" i="3"/>
  <c r="V444" i="3"/>
  <c r="W444" i="3"/>
  <c r="X444" i="3"/>
  <c r="Y444" i="3"/>
  <c r="Z444" i="3"/>
  <c r="AA444" i="3"/>
  <c r="V445" i="3"/>
  <c r="W445" i="3"/>
  <c r="X445" i="3"/>
  <c r="Y445" i="3"/>
  <c r="Z445" i="3"/>
  <c r="AA445" i="3"/>
  <c r="V446" i="3"/>
  <c r="W446" i="3"/>
  <c r="X446" i="3"/>
  <c r="Y446" i="3"/>
  <c r="Z446" i="3"/>
  <c r="AA446" i="3"/>
  <c r="V447" i="3"/>
  <c r="W447" i="3"/>
  <c r="X447" i="3"/>
  <c r="Y447" i="3"/>
  <c r="Z447" i="3"/>
  <c r="AA447" i="3"/>
  <c r="V448" i="3"/>
  <c r="W448" i="3"/>
  <c r="X448" i="3"/>
  <c r="Y448" i="3"/>
  <c r="Z448" i="3"/>
  <c r="AA448" i="3"/>
  <c r="V449" i="3"/>
  <c r="W449" i="3"/>
  <c r="X449" i="3"/>
  <c r="Y449" i="3"/>
  <c r="Z449" i="3"/>
  <c r="AA449" i="3"/>
  <c r="V450" i="3"/>
  <c r="W450" i="3"/>
  <c r="X450" i="3"/>
  <c r="Y450" i="3"/>
  <c r="Z450" i="3"/>
  <c r="AA450" i="3"/>
  <c r="V451" i="3"/>
  <c r="W451" i="3"/>
  <c r="X451" i="3"/>
  <c r="Y451" i="3"/>
  <c r="Z451" i="3"/>
  <c r="AA451" i="3"/>
  <c r="V452" i="3"/>
  <c r="W452" i="3"/>
  <c r="X452" i="3"/>
  <c r="Y452" i="3"/>
  <c r="Z452" i="3"/>
  <c r="AA452" i="3"/>
  <c r="V453" i="3"/>
  <c r="W453" i="3"/>
  <c r="X453" i="3"/>
  <c r="Y453" i="3"/>
  <c r="Z453" i="3"/>
  <c r="AA453" i="3"/>
  <c r="V454" i="3"/>
  <c r="W454" i="3"/>
  <c r="X454" i="3"/>
  <c r="Y454" i="3"/>
  <c r="Z454" i="3"/>
  <c r="AA454" i="3"/>
  <c r="V455" i="3"/>
  <c r="W455" i="3"/>
  <c r="X455" i="3"/>
  <c r="Y455" i="3"/>
  <c r="Z455" i="3"/>
  <c r="AA455" i="3"/>
  <c r="V456" i="3"/>
  <c r="W456" i="3"/>
  <c r="X456" i="3"/>
  <c r="Y456" i="3"/>
  <c r="Z456" i="3"/>
  <c r="AA456" i="3"/>
  <c r="V457" i="3"/>
  <c r="W457" i="3"/>
  <c r="X457" i="3"/>
  <c r="Y457" i="3"/>
  <c r="Z457" i="3"/>
  <c r="AA457" i="3"/>
  <c r="V458" i="3"/>
  <c r="W458" i="3"/>
  <c r="X458" i="3"/>
  <c r="Y458" i="3"/>
  <c r="Z458" i="3"/>
  <c r="AA458" i="3"/>
  <c r="V459" i="3"/>
  <c r="W459" i="3"/>
  <c r="X459" i="3"/>
  <c r="Y459" i="3"/>
  <c r="Z459" i="3"/>
  <c r="AA459" i="3"/>
  <c r="V460" i="3"/>
  <c r="W460" i="3"/>
  <c r="X460" i="3"/>
  <c r="Y460" i="3"/>
  <c r="Z460" i="3"/>
  <c r="AA460" i="3"/>
  <c r="V461" i="3"/>
  <c r="W461" i="3"/>
  <c r="X461" i="3"/>
  <c r="Y461" i="3"/>
  <c r="Z461" i="3"/>
  <c r="AA461" i="3"/>
  <c r="V462" i="3"/>
  <c r="W462" i="3"/>
  <c r="X462" i="3"/>
  <c r="Y462" i="3"/>
  <c r="Z462" i="3"/>
  <c r="AA462" i="3"/>
  <c r="V463" i="3"/>
  <c r="W463" i="3"/>
  <c r="X463" i="3"/>
  <c r="Y463" i="3"/>
  <c r="Z463" i="3"/>
  <c r="AA463" i="3"/>
  <c r="V464" i="3"/>
  <c r="W464" i="3"/>
  <c r="X464" i="3"/>
  <c r="Y464" i="3"/>
  <c r="Z464" i="3"/>
  <c r="AA464" i="3"/>
  <c r="V465" i="3"/>
  <c r="W465" i="3"/>
  <c r="X465" i="3"/>
  <c r="Y465" i="3"/>
  <c r="Z465" i="3"/>
  <c r="AA465" i="3"/>
  <c r="V466" i="3"/>
  <c r="W466" i="3"/>
  <c r="X466" i="3"/>
  <c r="Y466" i="3"/>
  <c r="Z466" i="3"/>
  <c r="AA466" i="3"/>
  <c r="V467" i="3"/>
  <c r="W467" i="3"/>
  <c r="X467" i="3"/>
  <c r="Y467" i="3"/>
  <c r="Z467" i="3"/>
  <c r="AA467" i="3"/>
  <c r="V468" i="3"/>
  <c r="W468" i="3"/>
  <c r="X468" i="3"/>
  <c r="Y468" i="3"/>
  <c r="Z468" i="3"/>
  <c r="AA468" i="3"/>
  <c r="V469" i="3"/>
  <c r="W469" i="3"/>
  <c r="X469" i="3"/>
  <c r="Y469" i="3"/>
  <c r="Z469" i="3"/>
  <c r="AA469" i="3"/>
  <c r="V470" i="3"/>
  <c r="W470" i="3"/>
  <c r="X470" i="3"/>
  <c r="Y470" i="3"/>
  <c r="Z470" i="3"/>
  <c r="AA470" i="3"/>
  <c r="V471" i="3"/>
  <c r="W471" i="3"/>
  <c r="X471" i="3"/>
  <c r="Y471" i="3"/>
  <c r="Z471" i="3"/>
  <c r="AA471" i="3"/>
  <c r="V472" i="3"/>
  <c r="W472" i="3"/>
  <c r="X472" i="3"/>
  <c r="Y472" i="3"/>
  <c r="Z472" i="3"/>
  <c r="AA472" i="3"/>
  <c r="V473" i="3"/>
  <c r="W473" i="3"/>
  <c r="X473" i="3"/>
  <c r="Y473" i="3"/>
  <c r="Z473" i="3"/>
  <c r="AA473" i="3"/>
  <c r="V474" i="3"/>
  <c r="W474" i="3"/>
  <c r="X474" i="3"/>
  <c r="Y474" i="3"/>
  <c r="Z474" i="3"/>
  <c r="AA474" i="3"/>
  <c r="V475" i="3"/>
  <c r="W475" i="3"/>
  <c r="X475" i="3"/>
  <c r="Y475" i="3"/>
  <c r="Z475" i="3"/>
  <c r="AA475" i="3"/>
  <c r="V476" i="3"/>
  <c r="W476" i="3"/>
  <c r="X476" i="3"/>
  <c r="Y476" i="3"/>
  <c r="Z476" i="3"/>
  <c r="AA476" i="3"/>
  <c r="V477" i="3"/>
  <c r="W477" i="3"/>
  <c r="X477" i="3"/>
  <c r="Y477" i="3"/>
  <c r="Z477" i="3"/>
  <c r="AA477" i="3"/>
  <c r="V478" i="3"/>
  <c r="W478" i="3"/>
  <c r="X478" i="3"/>
  <c r="Y478" i="3"/>
  <c r="Z478" i="3"/>
  <c r="AA478" i="3"/>
  <c r="V479" i="3"/>
  <c r="W479" i="3"/>
  <c r="X479" i="3"/>
  <c r="Y479" i="3"/>
  <c r="Z479" i="3"/>
  <c r="AA479" i="3"/>
  <c r="V480" i="3"/>
  <c r="W480" i="3"/>
  <c r="X480" i="3"/>
  <c r="Y480" i="3"/>
  <c r="Z480" i="3"/>
  <c r="AA480" i="3"/>
  <c r="V481" i="3"/>
  <c r="W481" i="3"/>
  <c r="X481" i="3"/>
  <c r="Y481" i="3"/>
  <c r="Z481" i="3"/>
  <c r="AA481" i="3"/>
  <c r="V482" i="3"/>
  <c r="W482" i="3"/>
  <c r="X482" i="3"/>
  <c r="Y482" i="3"/>
  <c r="Z482" i="3"/>
  <c r="AA482" i="3"/>
  <c r="V483" i="3"/>
  <c r="W483" i="3"/>
  <c r="X483" i="3"/>
  <c r="Y483" i="3"/>
  <c r="Z483" i="3"/>
  <c r="AA483" i="3"/>
  <c r="V484" i="3"/>
  <c r="W484" i="3"/>
  <c r="X484" i="3"/>
  <c r="Y484" i="3"/>
  <c r="Z484" i="3"/>
  <c r="AA484" i="3"/>
  <c r="V485" i="3"/>
  <c r="W485" i="3"/>
  <c r="X485" i="3"/>
  <c r="Y485" i="3"/>
  <c r="Z485" i="3"/>
  <c r="AA485" i="3"/>
  <c r="V486" i="3"/>
  <c r="W486" i="3"/>
  <c r="X486" i="3"/>
  <c r="Y486" i="3"/>
  <c r="Z486" i="3"/>
  <c r="AA486" i="3"/>
  <c r="V487" i="3"/>
  <c r="W487" i="3"/>
  <c r="X487" i="3"/>
  <c r="Y487" i="3"/>
  <c r="Z487" i="3"/>
  <c r="AA487" i="3"/>
  <c r="V488" i="3"/>
  <c r="W488" i="3"/>
  <c r="X488" i="3"/>
  <c r="Y488" i="3"/>
  <c r="Z488" i="3"/>
  <c r="AA488" i="3"/>
  <c r="V489" i="3"/>
  <c r="W489" i="3"/>
  <c r="X489" i="3"/>
  <c r="Y489" i="3"/>
  <c r="Z489" i="3"/>
  <c r="AA489" i="3"/>
  <c r="V490" i="3"/>
  <c r="W490" i="3"/>
  <c r="X490" i="3"/>
  <c r="Y490" i="3"/>
  <c r="Z490" i="3"/>
  <c r="AA490" i="3"/>
  <c r="V491" i="3"/>
  <c r="W491" i="3"/>
  <c r="X491" i="3"/>
  <c r="Y491" i="3"/>
  <c r="Z491" i="3"/>
  <c r="AA491" i="3"/>
  <c r="V492" i="3"/>
  <c r="W492" i="3"/>
  <c r="X492" i="3"/>
  <c r="Y492" i="3"/>
  <c r="Z492" i="3"/>
  <c r="AA492" i="3"/>
  <c r="V493" i="3"/>
  <c r="W493" i="3"/>
  <c r="X493" i="3"/>
  <c r="Y493" i="3"/>
  <c r="Z493" i="3"/>
  <c r="AA493" i="3"/>
  <c r="V494" i="3"/>
  <c r="W494" i="3"/>
  <c r="X494" i="3"/>
  <c r="Y494" i="3"/>
  <c r="Z494" i="3"/>
  <c r="AA494" i="3"/>
  <c r="V495" i="3"/>
  <c r="W495" i="3"/>
  <c r="X495" i="3"/>
  <c r="Y495" i="3"/>
  <c r="Z495" i="3"/>
  <c r="AA495" i="3"/>
  <c r="V496" i="3"/>
  <c r="W496" i="3"/>
  <c r="X496" i="3"/>
  <c r="Y496" i="3"/>
  <c r="Z496" i="3"/>
  <c r="AA496" i="3"/>
  <c r="V497" i="3"/>
  <c r="W497" i="3"/>
  <c r="X497" i="3"/>
  <c r="Y497" i="3"/>
  <c r="Z497" i="3"/>
  <c r="AA497" i="3"/>
  <c r="V498" i="3"/>
  <c r="W498" i="3"/>
  <c r="X498" i="3"/>
  <c r="Y498" i="3"/>
  <c r="Z498" i="3"/>
  <c r="AA498" i="3"/>
  <c r="V499" i="3"/>
  <c r="W499" i="3"/>
  <c r="X499" i="3"/>
  <c r="Y499" i="3"/>
  <c r="Z499" i="3"/>
  <c r="AA499" i="3"/>
  <c r="V500" i="3"/>
  <c r="W500" i="3"/>
  <c r="X500" i="3"/>
  <c r="Y500" i="3"/>
  <c r="Z500" i="3"/>
  <c r="AA500" i="3"/>
  <c r="V501" i="3"/>
  <c r="W501" i="3"/>
  <c r="X501" i="3"/>
  <c r="Y501" i="3"/>
  <c r="Z501" i="3"/>
  <c r="AA501" i="3"/>
  <c r="V502" i="3"/>
  <c r="W502" i="3"/>
  <c r="X502" i="3"/>
  <c r="Y502" i="3"/>
  <c r="Z502" i="3"/>
  <c r="AA502" i="3"/>
  <c r="V503" i="3"/>
  <c r="W503" i="3"/>
  <c r="X503" i="3"/>
  <c r="Y503" i="3"/>
  <c r="Z503" i="3"/>
  <c r="AA503" i="3"/>
  <c r="V504" i="3"/>
  <c r="W504" i="3"/>
  <c r="X504" i="3"/>
  <c r="Y504" i="3"/>
  <c r="Z504" i="3"/>
  <c r="AA504" i="3"/>
  <c r="V505" i="3"/>
  <c r="W505" i="3"/>
  <c r="X505" i="3"/>
  <c r="Y505" i="3"/>
  <c r="Z505" i="3"/>
  <c r="AA505" i="3"/>
  <c r="V506" i="3"/>
  <c r="W506" i="3"/>
  <c r="X506" i="3"/>
  <c r="Y506" i="3"/>
  <c r="Z506" i="3"/>
  <c r="AA506" i="3"/>
  <c r="V507" i="3"/>
  <c r="W507" i="3"/>
  <c r="X507" i="3"/>
  <c r="Y507" i="3"/>
  <c r="Z507" i="3"/>
  <c r="AA507" i="3"/>
  <c r="V508" i="3"/>
  <c r="W508" i="3"/>
  <c r="X508" i="3"/>
  <c r="Y508" i="3"/>
  <c r="Z508" i="3"/>
  <c r="AA508" i="3"/>
  <c r="V509" i="3"/>
  <c r="W509" i="3"/>
  <c r="X509" i="3"/>
  <c r="Y509" i="3"/>
  <c r="Z509" i="3"/>
  <c r="AA509" i="3"/>
  <c r="V510" i="3"/>
  <c r="W510" i="3"/>
  <c r="X510" i="3"/>
  <c r="Y510" i="3"/>
  <c r="Z510" i="3"/>
  <c r="AA510" i="3"/>
  <c r="V511" i="3"/>
  <c r="W511" i="3"/>
  <c r="X511" i="3"/>
  <c r="Y511" i="3"/>
  <c r="Z511" i="3"/>
  <c r="AA511" i="3"/>
  <c r="V512" i="3"/>
  <c r="W512" i="3"/>
  <c r="X512" i="3"/>
  <c r="Y512" i="3"/>
  <c r="Z512" i="3"/>
  <c r="AA512" i="3"/>
  <c r="V513" i="3"/>
  <c r="W513" i="3"/>
  <c r="X513" i="3"/>
  <c r="Y513" i="3"/>
  <c r="Z513" i="3"/>
  <c r="AA513" i="3"/>
  <c r="V514" i="3"/>
  <c r="W514" i="3"/>
  <c r="X514" i="3"/>
  <c r="Y514" i="3"/>
  <c r="Z514" i="3"/>
  <c r="AA514" i="3"/>
  <c r="V515" i="3"/>
  <c r="W515" i="3"/>
  <c r="X515" i="3"/>
  <c r="Y515" i="3"/>
  <c r="Z515" i="3"/>
  <c r="AA515" i="3"/>
  <c r="V516" i="3"/>
  <c r="W516" i="3"/>
  <c r="X516" i="3"/>
  <c r="Y516" i="3"/>
  <c r="Z516" i="3"/>
  <c r="AA516" i="3"/>
  <c r="V517" i="3"/>
  <c r="W517" i="3"/>
  <c r="X517" i="3"/>
  <c r="Y517" i="3"/>
  <c r="Z517" i="3"/>
  <c r="AA517" i="3"/>
  <c r="V518" i="3"/>
  <c r="W518" i="3"/>
  <c r="X518" i="3"/>
  <c r="Y518" i="3"/>
  <c r="Z518" i="3"/>
  <c r="AA518" i="3"/>
  <c r="V519" i="3"/>
  <c r="W519" i="3"/>
  <c r="X519" i="3"/>
  <c r="Y519" i="3"/>
  <c r="Z519" i="3"/>
  <c r="AA519" i="3"/>
  <c r="V520" i="3"/>
  <c r="W520" i="3"/>
  <c r="X520" i="3"/>
  <c r="Y520" i="3"/>
  <c r="Z520" i="3"/>
  <c r="AA520" i="3"/>
  <c r="V521" i="3"/>
  <c r="W521" i="3"/>
  <c r="X521" i="3"/>
  <c r="Y521" i="3"/>
  <c r="Z521" i="3"/>
  <c r="AA521" i="3"/>
  <c r="V522" i="3"/>
  <c r="W522" i="3"/>
  <c r="X522" i="3"/>
  <c r="Y522" i="3"/>
  <c r="Z522" i="3"/>
  <c r="AA522" i="3"/>
  <c r="V523" i="3"/>
  <c r="W523" i="3"/>
  <c r="X523" i="3"/>
  <c r="Y523" i="3"/>
  <c r="Z523" i="3"/>
  <c r="AA523" i="3"/>
  <c r="V524" i="3"/>
  <c r="W524" i="3"/>
  <c r="X524" i="3"/>
  <c r="Y524" i="3"/>
  <c r="Z524" i="3"/>
  <c r="AA524" i="3"/>
  <c r="V525" i="3"/>
  <c r="W525" i="3"/>
  <c r="X525" i="3"/>
  <c r="Y525" i="3"/>
  <c r="Z525" i="3"/>
  <c r="AA525" i="3"/>
  <c r="V526" i="3"/>
  <c r="W526" i="3"/>
  <c r="X526" i="3"/>
  <c r="Y526" i="3"/>
  <c r="Z526" i="3"/>
  <c r="AA526" i="3"/>
  <c r="V527" i="3"/>
  <c r="W527" i="3"/>
  <c r="X527" i="3"/>
  <c r="Y527" i="3"/>
  <c r="Z527" i="3"/>
  <c r="AA527" i="3"/>
  <c r="V528" i="3"/>
  <c r="W528" i="3"/>
  <c r="X528" i="3"/>
  <c r="Y528" i="3"/>
  <c r="Z528" i="3"/>
  <c r="AA528" i="3"/>
  <c r="V529" i="3"/>
  <c r="W529" i="3"/>
  <c r="X529" i="3"/>
  <c r="Y529" i="3"/>
  <c r="Z529" i="3"/>
  <c r="AA529" i="3"/>
  <c r="V530" i="3"/>
  <c r="W530" i="3"/>
  <c r="X530" i="3"/>
  <c r="Y530" i="3"/>
  <c r="Z530" i="3"/>
  <c r="AA530" i="3"/>
  <c r="V531" i="3"/>
  <c r="W531" i="3"/>
  <c r="X531" i="3"/>
  <c r="Y531" i="3"/>
  <c r="Z531" i="3"/>
  <c r="AA531" i="3"/>
  <c r="V532" i="3"/>
  <c r="W532" i="3"/>
  <c r="X532" i="3"/>
  <c r="Y532" i="3"/>
  <c r="Z532" i="3"/>
  <c r="AA532" i="3"/>
  <c r="V533" i="3"/>
  <c r="W533" i="3"/>
  <c r="X533" i="3"/>
  <c r="Y533" i="3"/>
  <c r="Z533" i="3"/>
  <c r="AA533" i="3"/>
  <c r="V534" i="3"/>
  <c r="W534" i="3"/>
  <c r="X534" i="3"/>
  <c r="Y534" i="3"/>
  <c r="Z534" i="3"/>
  <c r="AA534" i="3"/>
  <c r="V535" i="3"/>
  <c r="W535" i="3"/>
  <c r="X535" i="3"/>
  <c r="Y535" i="3"/>
  <c r="Z535" i="3"/>
  <c r="AA535" i="3"/>
  <c r="V536" i="3"/>
  <c r="W536" i="3"/>
  <c r="X536" i="3"/>
  <c r="Y536" i="3"/>
  <c r="Z536" i="3"/>
  <c r="AA536" i="3"/>
  <c r="V537" i="3"/>
  <c r="W537" i="3"/>
  <c r="X537" i="3"/>
  <c r="Y537" i="3"/>
  <c r="Z537" i="3"/>
  <c r="AA537" i="3"/>
  <c r="V538" i="3"/>
  <c r="W538" i="3"/>
  <c r="X538" i="3"/>
  <c r="Y538" i="3"/>
  <c r="Z538" i="3"/>
  <c r="AA538" i="3"/>
  <c r="V539" i="3"/>
  <c r="W539" i="3"/>
  <c r="X539" i="3"/>
  <c r="Y539" i="3"/>
  <c r="Z539" i="3"/>
  <c r="AA539" i="3"/>
  <c r="V540" i="3"/>
  <c r="W540" i="3"/>
  <c r="X540" i="3"/>
  <c r="Y540" i="3"/>
  <c r="Z540" i="3"/>
  <c r="AA540" i="3"/>
  <c r="V541" i="3"/>
  <c r="W541" i="3"/>
  <c r="X541" i="3"/>
  <c r="Y541" i="3"/>
  <c r="Z541" i="3"/>
  <c r="AA541" i="3"/>
  <c r="V542" i="3"/>
  <c r="W542" i="3"/>
  <c r="X542" i="3"/>
  <c r="Y542" i="3"/>
  <c r="Z542" i="3"/>
  <c r="AA542" i="3"/>
  <c r="V543" i="3"/>
  <c r="W543" i="3"/>
  <c r="X543" i="3"/>
  <c r="Y543" i="3"/>
  <c r="Z543" i="3"/>
  <c r="AA543" i="3"/>
  <c r="V544" i="3"/>
  <c r="W544" i="3"/>
  <c r="X544" i="3"/>
  <c r="Y544" i="3"/>
  <c r="Z544" i="3"/>
  <c r="AA544" i="3"/>
  <c r="V545" i="3"/>
  <c r="W545" i="3"/>
  <c r="X545" i="3"/>
  <c r="Y545" i="3"/>
  <c r="Z545" i="3"/>
  <c r="AA545" i="3"/>
  <c r="V546" i="3"/>
  <c r="W546" i="3"/>
  <c r="X546" i="3"/>
  <c r="Y546" i="3"/>
  <c r="Z546" i="3"/>
  <c r="AA546" i="3"/>
  <c r="V547" i="3"/>
  <c r="W547" i="3"/>
  <c r="X547" i="3"/>
  <c r="Y547" i="3"/>
  <c r="Z547" i="3"/>
  <c r="AA547" i="3"/>
  <c r="V548" i="3"/>
  <c r="W548" i="3"/>
  <c r="X548" i="3"/>
  <c r="Y548" i="3"/>
  <c r="Z548" i="3"/>
  <c r="AA548" i="3"/>
  <c r="V549" i="3"/>
  <c r="W549" i="3"/>
  <c r="X549" i="3"/>
  <c r="Y549" i="3"/>
  <c r="Z549" i="3"/>
  <c r="AA549" i="3"/>
  <c r="V550" i="3"/>
  <c r="W550" i="3"/>
  <c r="X550" i="3"/>
  <c r="Y550" i="3"/>
  <c r="Z550" i="3"/>
  <c r="AA550" i="3"/>
  <c r="V551" i="3"/>
  <c r="W551" i="3"/>
  <c r="X551" i="3"/>
  <c r="Y551" i="3"/>
  <c r="Z551" i="3"/>
  <c r="AA551" i="3"/>
  <c r="V552" i="3"/>
  <c r="W552" i="3"/>
  <c r="X552" i="3"/>
  <c r="Y552" i="3"/>
  <c r="Z552" i="3"/>
  <c r="AA552" i="3"/>
  <c r="V553" i="3"/>
  <c r="W553" i="3"/>
  <c r="X553" i="3"/>
  <c r="Y553" i="3"/>
  <c r="Z553" i="3"/>
  <c r="AA553" i="3"/>
  <c r="V554" i="3"/>
  <c r="W554" i="3"/>
  <c r="X554" i="3"/>
  <c r="Y554" i="3"/>
  <c r="Z554" i="3"/>
  <c r="AA554" i="3"/>
  <c r="V555" i="3"/>
  <c r="W555" i="3"/>
  <c r="X555" i="3"/>
  <c r="Y555" i="3"/>
  <c r="Z555" i="3"/>
  <c r="AA555" i="3"/>
  <c r="V556" i="3"/>
  <c r="W556" i="3"/>
  <c r="X556" i="3"/>
  <c r="Y556" i="3"/>
  <c r="Z556" i="3"/>
  <c r="AA556" i="3"/>
  <c r="V557" i="3"/>
  <c r="W557" i="3"/>
  <c r="X557" i="3"/>
  <c r="Y557" i="3"/>
  <c r="Z557" i="3"/>
  <c r="AA557" i="3"/>
  <c r="V558" i="3"/>
  <c r="W558" i="3"/>
  <c r="X558" i="3"/>
  <c r="Y558" i="3"/>
  <c r="Z558" i="3"/>
  <c r="AA558" i="3"/>
  <c r="V559" i="3"/>
  <c r="W559" i="3"/>
  <c r="X559" i="3"/>
  <c r="Y559" i="3"/>
  <c r="Z559" i="3"/>
  <c r="AA559" i="3"/>
  <c r="V560" i="3"/>
  <c r="W560" i="3"/>
  <c r="X560" i="3"/>
  <c r="Y560" i="3"/>
  <c r="Z560" i="3"/>
  <c r="AA560" i="3"/>
  <c r="V561" i="3"/>
  <c r="W561" i="3"/>
  <c r="X561" i="3"/>
  <c r="Y561" i="3"/>
  <c r="Z561" i="3"/>
  <c r="AA561" i="3"/>
  <c r="V562" i="3"/>
  <c r="W562" i="3"/>
  <c r="X562" i="3"/>
  <c r="Y562" i="3"/>
  <c r="Z562" i="3"/>
  <c r="AA562" i="3"/>
  <c r="V563" i="3"/>
  <c r="W563" i="3"/>
  <c r="X563" i="3"/>
  <c r="Y563" i="3"/>
  <c r="Z563" i="3"/>
  <c r="AA563" i="3"/>
  <c r="V564" i="3"/>
  <c r="W564" i="3"/>
  <c r="X564" i="3"/>
  <c r="Y564" i="3"/>
  <c r="Z564" i="3"/>
  <c r="AA564" i="3"/>
  <c r="V565" i="3"/>
  <c r="W565" i="3"/>
  <c r="X565" i="3"/>
  <c r="Y565" i="3"/>
  <c r="Z565" i="3"/>
  <c r="AA565" i="3"/>
  <c r="V566" i="3"/>
  <c r="W566" i="3"/>
  <c r="X566" i="3"/>
  <c r="Y566" i="3"/>
  <c r="Z566" i="3"/>
  <c r="AA566" i="3"/>
  <c r="V567" i="3"/>
  <c r="W567" i="3"/>
  <c r="X567" i="3"/>
  <c r="Y567" i="3"/>
  <c r="Z567" i="3"/>
  <c r="AA567" i="3"/>
  <c r="V568" i="3"/>
  <c r="W568" i="3"/>
  <c r="X568" i="3"/>
  <c r="Y568" i="3"/>
  <c r="Z568" i="3"/>
  <c r="AA568" i="3"/>
  <c r="V569" i="3"/>
  <c r="W569" i="3"/>
  <c r="X569" i="3"/>
  <c r="Y569" i="3"/>
  <c r="Z569" i="3"/>
  <c r="AA569" i="3"/>
  <c r="V570" i="3"/>
  <c r="W570" i="3"/>
  <c r="X570" i="3"/>
  <c r="Y570" i="3"/>
  <c r="Z570" i="3"/>
  <c r="AA570" i="3"/>
  <c r="V571" i="3"/>
  <c r="W571" i="3"/>
  <c r="X571" i="3"/>
  <c r="Y571" i="3"/>
  <c r="Z571" i="3"/>
  <c r="AA571" i="3"/>
  <c r="V572" i="3"/>
  <c r="W572" i="3"/>
  <c r="X572" i="3"/>
  <c r="Y572" i="3"/>
  <c r="Z572" i="3"/>
  <c r="AA572" i="3"/>
  <c r="V573" i="3"/>
  <c r="W573" i="3"/>
  <c r="X573" i="3"/>
  <c r="Y573" i="3"/>
  <c r="Z573" i="3"/>
  <c r="AA573" i="3"/>
  <c r="V574" i="3"/>
  <c r="W574" i="3"/>
  <c r="X574" i="3"/>
  <c r="Y574" i="3"/>
  <c r="Z574" i="3"/>
  <c r="AA574" i="3"/>
  <c r="V575" i="3"/>
  <c r="W575" i="3"/>
  <c r="X575" i="3"/>
  <c r="Y575" i="3"/>
  <c r="Z575" i="3"/>
  <c r="AA575" i="3"/>
  <c r="V576" i="3"/>
  <c r="W576" i="3"/>
  <c r="X576" i="3"/>
  <c r="Y576" i="3"/>
  <c r="Z576" i="3"/>
  <c r="AA576" i="3"/>
  <c r="V577" i="3"/>
  <c r="W577" i="3"/>
  <c r="X577" i="3"/>
  <c r="Y577" i="3"/>
  <c r="Z577" i="3"/>
  <c r="AA577" i="3"/>
  <c r="V578" i="3"/>
  <c r="W578" i="3"/>
  <c r="X578" i="3"/>
  <c r="Y578" i="3"/>
  <c r="Z578" i="3"/>
  <c r="AA578" i="3"/>
  <c r="V579" i="3"/>
  <c r="W579" i="3"/>
  <c r="X579" i="3"/>
  <c r="Y579" i="3"/>
  <c r="Z579" i="3"/>
  <c r="AA579" i="3"/>
  <c r="V580" i="3"/>
  <c r="W580" i="3"/>
  <c r="X580" i="3"/>
  <c r="Y580" i="3"/>
  <c r="Z580" i="3"/>
  <c r="AA580" i="3"/>
  <c r="V581" i="3"/>
  <c r="W581" i="3"/>
  <c r="X581" i="3"/>
  <c r="Y581" i="3"/>
  <c r="Z581" i="3"/>
  <c r="AA581" i="3"/>
  <c r="V582" i="3"/>
  <c r="W582" i="3"/>
  <c r="X582" i="3"/>
  <c r="Y582" i="3"/>
  <c r="Z582" i="3"/>
  <c r="AA582" i="3"/>
  <c r="V583" i="3"/>
  <c r="W583" i="3"/>
  <c r="X583" i="3"/>
  <c r="Y583" i="3"/>
  <c r="Z583" i="3"/>
  <c r="AA583" i="3"/>
  <c r="V584" i="3"/>
  <c r="W584" i="3"/>
  <c r="X584" i="3"/>
  <c r="Y584" i="3"/>
  <c r="Z584" i="3"/>
  <c r="AA584" i="3"/>
  <c r="V585" i="3"/>
  <c r="W585" i="3"/>
  <c r="X585" i="3"/>
  <c r="Y585" i="3"/>
  <c r="Z585" i="3"/>
  <c r="AA585" i="3"/>
  <c r="V586" i="3"/>
  <c r="W586" i="3"/>
  <c r="X586" i="3"/>
  <c r="Y586" i="3"/>
  <c r="Z586" i="3"/>
  <c r="AA586" i="3"/>
  <c r="V587" i="3"/>
  <c r="W587" i="3"/>
  <c r="X587" i="3"/>
  <c r="Y587" i="3"/>
  <c r="Z587" i="3"/>
  <c r="AA587" i="3"/>
  <c r="V588" i="3"/>
  <c r="W588" i="3"/>
  <c r="X588" i="3"/>
  <c r="Y588" i="3"/>
  <c r="Z588" i="3"/>
  <c r="AA588" i="3"/>
  <c r="V589" i="3"/>
  <c r="W589" i="3"/>
  <c r="X589" i="3"/>
  <c r="Y589" i="3"/>
  <c r="Z589" i="3"/>
  <c r="AA589" i="3"/>
  <c r="V590" i="3"/>
  <c r="W590" i="3"/>
  <c r="X590" i="3"/>
  <c r="Y590" i="3"/>
  <c r="Z590" i="3"/>
  <c r="AA590" i="3"/>
  <c r="V591" i="3"/>
  <c r="W591" i="3"/>
  <c r="X591" i="3"/>
  <c r="Y591" i="3"/>
  <c r="Z591" i="3"/>
  <c r="AA591" i="3"/>
  <c r="V592" i="3"/>
  <c r="W592" i="3"/>
  <c r="X592" i="3"/>
  <c r="Y592" i="3"/>
  <c r="Z592" i="3"/>
  <c r="AA592" i="3"/>
  <c r="V593" i="3"/>
  <c r="W593" i="3"/>
  <c r="X593" i="3"/>
  <c r="Y593" i="3"/>
  <c r="Z593" i="3"/>
  <c r="AA593" i="3"/>
  <c r="V594" i="3"/>
  <c r="W594" i="3"/>
  <c r="X594" i="3"/>
  <c r="Y594" i="3"/>
  <c r="Z594" i="3"/>
  <c r="AA594" i="3"/>
  <c r="V595" i="3"/>
  <c r="W595" i="3"/>
  <c r="X595" i="3"/>
  <c r="Y595" i="3"/>
  <c r="Z595" i="3"/>
  <c r="AA595" i="3"/>
  <c r="V596" i="3"/>
  <c r="W596" i="3"/>
  <c r="X596" i="3"/>
  <c r="Y596" i="3"/>
  <c r="Z596" i="3"/>
  <c r="AA596" i="3"/>
  <c r="V597" i="3"/>
  <c r="W597" i="3"/>
  <c r="X597" i="3"/>
  <c r="Y597" i="3"/>
  <c r="Z597" i="3"/>
  <c r="AA597" i="3"/>
  <c r="V598" i="3"/>
  <c r="W598" i="3"/>
  <c r="X598" i="3"/>
  <c r="Y598" i="3"/>
  <c r="Z598" i="3"/>
  <c r="AA598" i="3"/>
  <c r="V599" i="3"/>
  <c r="W599" i="3"/>
  <c r="X599" i="3"/>
  <c r="Y599" i="3"/>
  <c r="Z599" i="3"/>
  <c r="AA599" i="3"/>
  <c r="V600" i="3"/>
  <c r="W600" i="3"/>
  <c r="X600" i="3"/>
  <c r="Y600" i="3"/>
  <c r="Z600" i="3"/>
  <c r="AA600" i="3"/>
  <c r="V601" i="3"/>
  <c r="W601" i="3"/>
  <c r="X601" i="3"/>
  <c r="Y601" i="3"/>
  <c r="Z601" i="3"/>
  <c r="AA601" i="3"/>
  <c r="V602" i="3"/>
  <c r="W602" i="3"/>
  <c r="X602" i="3"/>
  <c r="Y602" i="3"/>
  <c r="Z602" i="3"/>
  <c r="AA602" i="3"/>
  <c r="V603" i="3"/>
  <c r="W603" i="3"/>
  <c r="X603" i="3"/>
  <c r="Y603" i="3"/>
  <c r="Z603" i="3"/>
  <c r="AA603" i="3"/>
  <c r="V604" i="3"/>
  <c r="W604" i="3"/>
  <c r="X604" i="3"/>
  <c r="Y604" i="3"/>
  <c r="Z604" i="3"/>
  <c r="AA604" i="3"/>
  <c r="V605" i="3"/>
  <c r="W605" i="3"/>
  <c r="X605" i="3"/>
  <c r="Y605" i="3"/>
  <c r="Z605" i="3"/>
  <c r="AA605" i="3"/>
  <c r="V606" i="3"/>
  <c r="W606" i="3"/>
  <c r="X606" i="3"/>
  <c r="Y606" i="3"/>
  <c r="Z606" i="3"/>
  <c r="AA606" i="3"/>
  <c r="V607" i="3"/>
  <c r="W607" i="3"/>
  <c r="X607" i="3"/>
  <c r="Y607" i="3"/>
  <c r="Z607" i="3"/>
  <c r="AA607" i="3"/>
  <c r="V608" i="3"/>
  <c r="W608" i="3"/>
  <c r="X608" i="3"/>
  <c r="Y608" i="3"/>
  <c r="Z608" i="3"/>
  <c r="AA608" i="3"/>
  <c r="V609" i="3"/>
  <c r="W609" i="3"/>
  <c r="X609" i="3"/>
  <c r="Y609" i="3"/>
  <c r="Z609" i="3"/>
  <c r="AA609" i="3"/>
  <c r="V610" i="3"/>
  <c r="W610" i="3"/>
  <c r="X610" i="3"/>
  <c r="Y610" i="3"/>
  <c r="Z610" i="3"/>
  <c r="AA610" i="3"/>
  <c r="V611" i="3"/>
  <c r="W611" i="3"/>
  <c r="X611" i="3"/>
  <c r="Y611" i="3"/>
  <c r="Z611" i="3"/>
  <c r="AA611" i="3"/>
  <c r="V612" i="3"/>
  <c r="W612" i="3"/>
  <c r="X612" i="3"/>
  <c r="Y612" i="3"/>
  <c r="Z612" i="3"/>
  <c r="AA612" i="3"/>
  <c r="V613" i="3"/>
  <c r="W613" i="3"/>
  <c r="X613" i="3"/>
  <c r="Y613" i="3"/>
  <c r="Z613" i="3"/>
  <c r="AA613" i="3"/>
  <c r="V614" i="3"/>
  <c r="W614" i="3"/>
  <c r="X614" i="3"/>
  <c r="Y614" i="3"/>
  <c r="Z614" i="3"/>
  <c r="AA614" i="3"/>
  <c r="V615" i="3"/>
  <c r="W615" i="3"/>
  <c r="X615" i="3"/>
  <c r="Y615" i="3"/>
  <c r="Z615" i="3"/>
  <c r="AA615" i="3"/>
  <c r="V616" i="3"/>
  <c r="W616" i="3"/>
  <c r="X616" i="3"/>
  <c r="Y616" i="3"/>
  <c r="Z616" i="3"/>
  <c r="AA616" i="3"/>
  <c r="V617" i="3"/>
  <c r="W617" i="3"/>
  <c r="X617" i="3"/>
  <c r="Y617" i="3"/>
  <c r="Z617" i="3"/>
  <c r="AA617" i="3"/>
  <c r="V618" i="3"/>
  <c r="W618" i="3"/>
  <c r="X618" i="3"/>
  <c r="Y618" i="3"/>
  <c r="Z618" i="3"/>
  <c r="AA618" i="3"/>
  <c r="V619" i="3"/>
  <c r="W619" i="3"/>
  <c r="X619" i="3"/>
  <c r="Y619" i="3"/>
  <c r="Z619" i="3"/>
  <c r="AA619" i="3"/>
  <c r="V620" i="3"/>
  <c r="W620" i="3"/>
  <c r="X620" i="3"/>
  <c r="Y620" i="3"/>
  <c r="Z620" i="3"/>
  <c r="AA620" i="3"/>
  <c r="V621" i="3"/>
  <c r="W621" i="3"/>
  <c r="X621" i="3"/>
  <c r="Y621" i="3"/>
  <c r="Z621" i="3"/>
  <c r="AA621" i="3"/>
  <c r="V622" i="3"/>
  <c r="W622" i="3"/>
  <c r="X622" i="3"/>
  <c r="Y622" i="3"/>
  <c r="Z622" i="3"/>
  <c r="AA622" i="3"/>
  <c r="V623" i="3"/>
  <c r="W623" i="3"/>
  <c r="X623" i="3"/>
  <c r="Y623" i="3"/>
  <c r="Z623" i="3"/>
  <c r="AA623" i="3"/>
  <c r="V624" i="3"/>
  <c r="W624" i="3"/>
  <c r="X624" i="3"/>
  <c r="Y624" i="3"/>
  <c r="Z624" i="3"/>
  <c r="AA624" i="3"/>
  <c r="V625" i="3"/>
  <c r="W625" i="3"/>
  <c r="X625" i="3"/>
  <c r="Y625" i="3"/>
  <c r="Z625" i="3"/>
  <c r="AA625" i="3"/>
  <c r="V626" i="3"/>
  <c r="W626" i="3"/>
  <c r="X626" i="3"/>
  <c r="Y626" i="3"/>
  <c r="Z626" i="3"/>
  <c r="AA626" i="3"/>
  <c r="V627" i="3"/>
  <c r="W627" i="3"/>
  <c r="X627" i="3"/>
  <c r="Y627" i="3"/>
  <c r="Z627" i="3"/>
  <c r="AA627" i="3"/>
  <c r="V628" i="3"/>
  <c r="W628" i="3"/>
  <c r="X628" i="3"/>
  <c r="Y628" i="3"/>
  <c r="Z628" i="3"/>
  <c r="AA628" i="3"/>
  <c r="V629" i="3"/>
  <c r="W629" i="3"/>
  <c r="X629" i="3"/>
  <c r="Y629" i="3"/>
  <c r="Z629" i="3"/>
  <c r="AA629" i="3"/>
  <c r="V630" i="3"/>
  <c r="W630" i="3"/>
  <c r="X630" i="3"/>
  <c r="Y630" i="3"/>
  <c r="Z630" i="3"/>
  <c r="AA630" i="3"/>
  <c r="V631" i="3"/>
  <c r="W631" i="3"/>
  <c r="X631" i="3"/>
  <c r="Y631" i="3"/>
  <c r="Z631" i="3"/>
  <c r="AA631" i="3"/>
  <c r="V632" i="3"/>
  <c r="W632" i="3"/>
  <c r="X632" i="3"/>
  <c r="Y632" i="3"/>
  <c r="Z632" i="3"/>
  <c r="AA632" i="3"/>
  <c r="V633" i="3"/>
  <c r="W633" i="3"/>
  <c r="X633" i="3"/>
  <c r="Y633" i="3"/>
  <c r="Z633" i="3"/>
  <c r="AA633" i="3"/>
  <c r="V634" i="3"/>
  <c r="W634" i="3"/>
  <c r="X634" i="3"/>
  <c r="Y634" i="3"/>
  <c r="Z634" i="3"/>
  <c r="AA634" i="3"/>
  <c r="V635" i="3"/>
  <c r="W635" i="3"/>
  <c r="X635" i="3"/>
  <c r="Y635" i="3"/>
  <c r="Z635" i="3"/>
  <c r="AA635" i="3"/>
  <c r="V636" i="3"/>
  <c r="W636" i="3"/>
  <c r="X636" i="3"/>
  <c r="Y636" i="3"/>
  <c r="Z636" i="3"/>
  <c r="AA636" i="3"/>
  <c r="V637" i="3"/>
  <c r="W637" i="3"/>
  <c r="X637" i="3"/>
  <c r="Y637" i="3"/>
  <c r="Z637" i="3"/>
  <c r="AA637" i="3"/>
  <c r="V638" i="3"/>
  <c r="W638" i="3"/>
  <c r="X638" i="3"/>
  <c r="Y638" i="3"/>
  <c r="Z638" i="3"/>
  <c r="AA638" i="3"/>
  <c r="V639" i="3"/>
  <c r="W639" i="3"/>
  <c r="X639" i="3"/>
  <c r="Y639" i="3"/>
  <c r="Z639" i="3"/>
  <c r="AA639" i="3"/>
  <c r="V640" i="3"/>
  <c r="W640" i="3"/>
  <c r="X640" i="3"/>
  <c r="Y640" i="3"/>
  <c r="Z640" i="3"/>
  <c r="AA640" i="3"/>
  <c r="V641" i="3"/>
  <c r="W641" i="3"/>
  <c r="X641" i="3"/>
  <c r="Y641" i="3"/>
  <c r="Z641" i="3"/>
  <c r="AA641" i="3"/>
  <c r="V642" i="3"/>
  <c r="W642" i="3"/>
  <c r="X642" i="3"/>
  <c r="Y642" i="3"/>
  <c r="Z642" i="3"/>
  <c r="AA642" i="3"/>
  <c r="V643" i="3"/>
  <c r="W643" i="3"/>
  <c r="X643" i="3"/>
  <c r="Y643" i="3"/>
  <c r="Z643" i="3"/>
  <c r="AA643" i="3"/>
  <c r="V644" i="3"/>
  <c r="W644" i="3"/>
  <c r="X644" i="3"/>
  <c r="Y644" i="3"/>
  <c r="Z644" i="3"/>
  <c r="AA644" i="3"/>
  <c r="V645" i="3"/>
  <c r="W645" i="3"/>
  <c r="X645" i="3"/>
  <c r="Y645" i="3"/>
  <c r="Z645" i="3"/>
  <c r="AA645" i="3"/>
  <c r="V646" i="3"/>
  <c r="W646" i="3"/>
  <c r="X646" i="3"/>
  <c r="Y646" i="3"/>
  <c r="Z646" i="3"/>
  <c r="AA646" i="3"/>
  <c r="V647" i="3"/>
  <c r="W647" i="3"/>
  <c r="X647" i="3"/>
  <c r="Y647" i="3"/>
  <c r="Z647" i="3"/>
  <c r="AA647" i="3"/>
  <c r="V648" i="3"/>
  <c r="W648" i="3"/>
  <c r="X648" i="3"/>
  <c r="Y648" i="3"/>
  <c r="Z648" i="3"/>
  <c r="AA648" i="3"/>
  <c r="V649" i="3"/>
  <c r="W649" i="3"/>
  <c r="X649" i="3"/>
  <c r="Y649" i="3"/>
  <c r="Z649" i="3"/>
  <c r="AA649" i="3"/>
  <c r="V650" i="3"/>
  <c r="W650" i="3"/>
  <c r="X650" i="3"/>
  <c r="Y650" i="3"/>
  <c r="Z650" i="3"/>
  <c r="AA650" i="3"/>
  <c r="V651" i="3"/>
  <c r="W651" i="3"/>
  <c r="X651" i="3"/>
  <c r="Y651" i="3"/>
  <c r="Z651" i="3"/>
  <c r="AA651" i="3"/>
  <c r="V652" i="3"/>
  <c r="W652" i="3"/>
  <c r="X652" i="3"/>
  <c r="Y652" i="3"/>
  <c r="Z652" i="3"/>
  <c r="AA652" i="3"/>
  <c r="V653" i="3"/>
  <c r="W653" i="3"/>
  <c r="X653" i="3"/>
  <c r="Y653" i="3"/>
  <c r="Z653" i="3"/>
  <c r="AA653" i="3"/>
  <c r="V654" i="3"/>
  <c r="W654" i="3"/>
  <c r="X654" i="3"/>
  <c r="Y654" i="3"/>
  <c r="Z654" i="3"/>
  <c r="AA654" i="3"/>
  <c r="V655" i="3"/>
  <c r="W655" i="3"/>
  <c r="X655" i="3"/>
  <c r="Y655" i="3"/>
  <c r="Z655" i="3"/>
  <c r="AA655" i="3"/>
  <c r="V656" i="3"/>
  <c r="W656" i="3"/>
  <c r="X656" i="3"/>
  <c r="Y656" i="3"/>
  <c r="Z656" i="3"/>
  <c r="AA656" i="3"/>
  <c r="V657" i="3"/>
  <c r="W657" i="3"/>
  <c r="X657" i="3"/>
  <c r="Y657" i="3"/>
  <c r="Z657" i="3"/>
  <c r="AA657" i="3"/>
  <c r="V658" i="3"/>
  <c r="W658" i="3"/>
  <c r="X658" i="3"/>
  <c r="Y658" i="3"/>
  <c r="Z658" i="3"/>
  <c r="AA658" i="3"/>
  <c r="V659" i="3"/>
  <c r="W659" i="3"/>
  <c r="X659" i="3"/>
  <c r="Y659" i="3"/>
  <c r="Z659" i="3"/>
  <c r="AA659" i="3"/>
  <c r="V660" i="3"/>
  <c r="W660" i="3"/>
  <c r="X660" i="3"/>
  <c r="Y660" i="3"/>
  <c r="Z660" i="3"/>
  <c r="AA660" i="3"/>
  <c r="V661" i="3"/>
  <c r="W661" i="3"/>
  <c r="X661" i="3"/>
  <c r="Y661" i="3"/>
  <c r="Z661" i="3"/>
  <c r="AA661" i="3"/>
  <c r="V662" i="3"/>
  <c r="W662" i="3"/>
  <c r="X662" i="3"/>
  <c r="Y662" i="3"/>
  <c r="Z662" i="3"/>
  <c r="AA662" i="3"/>
  <c r="V663" i="3"/>
  <c r="W663" i="3"/>
  <c r="X663" i="3"/>
  <c r="Y663" i="3"/>
  <c r="Z663" i="3"/>
  <c r="AA663" i="3"/>
  <c r="V664" i="3"/>
  <c r="W664" i="3"/>
  <c r="X664" i="3"/>
  <c r="Y664" i="3"/>
  <c r="Z664" i="3"/>
  <c r="AA664" i="3"/>
  <c r="V665" i="3"/>
  <c r="W665" i="3"/>
  <c r="X665" i="3"/>
  <c r="Y665" i="3"/>
  <c r="Z665" i="3"/>
  <c r="AA665" i="3"/>
  <c r="V666" i="3"/>
  <c r="W666" i="3"/>
  <c r="X666" i="3"/>
  <c r="Y666" i="3"/>
  <c r="Z666" i="3"/>
  <c r="AA666" i="3"/>
  <c r="V667" i="3"/>
  <c r="W667" i="3"/>
  <c r="X667" i="3"/>
  <c r="Y667" i="3"/>
  <c r="Z667" i="3"/>
  <c r="AA667" i="3"/>
  <c r="V668" i="3"/>
  <c r="W668" i="3"/>
  <c r="X668" i="3"/>
  <c r="Y668" i="3"/>
  <c r="Z668" i="3"/>
  <c r="AA668" i="3"/>
  <c r="V669" i="3"/>
  <c r="W669" i="3"/>
  <c r="X669" i="3"/>
  <c r="Y669" i="3"/>
  <c r="Z669" i="3"/>
  <c r="AA669" i="3"/>
  <c r="V670" i="3"/>
  <c r="W670" i="3"/>
  <c r="X670" i="3"/>
  <c r="Y670" i="3"/>
  <c r="Z670" i="3"/>
  <c r="AA670" i="3"/>
  <c r="V671" i="3"/>
  <c r="W671" i="3"/>
  <c r="X671" i="3"/>
  <c r="Y671" i="3"/>
  <c r="Z671" i="3"/>
  <c r="AA671" i="3"/>
  <c r="V672" i="3"/>
  <c r="W672" i="3"/>
  <c r="X672" i="3"/>
  <c r="Y672" i="3"/>
  <c r="Z672" i="3"/>
  <c r="AA672" i="3"/>
  <c r="V673" i="3"/>
  <c r="W673" i="3"/>
  <c r="X673" i="3"/>
  <c r="Y673" i="3"/>
  <c r="Z673" i="3"/>
  <c r="AA673" i="3"/>
  <c r="V674" i="3"/>
  <c r="W674" i="3"/>
  <c r="X674" i="3"/>
  <c r="Y674" i="3"/>
  <c r="Z674" i="3"/>
  <c r="AA674" i="3"/>
  <c r="V675" i="3"/>
  <c r="W675" i="3"/>
  <c r="X675" i="3"/>
  <c r="Y675" i="3"/>
  <c r="Z675" i="3"/>
  <c r="AA675" i="3"/>
  <c r="V676" i="3"/>
  <c r="W676" i="3"/>
  <c r="X676" i="3"/>
  <c r="Y676" i="3"/>
  <c r="Z676" i="3"/>
  <c r="AA676" i="3"/>
  <c r="V677" i="3"/>
  <c r="W677" i="3"/>
  <c r="X677" i="3"/>
  <c r="Y677" i="3"/>
  <c r="Z677" i="3"/>
  <c r="AA677" i="3"/>
  <c r="V678" i="3"/>
  <c r="W678" i="3"/>
  <c r="X678" i="3"/>
  <c r="Y678" i="3"/>
  <c r="Z678" i="3"/>
  <c r="AA678" i="3"/>
  <c r="V679" i="3"/>
  <c r="W679" i="3"/>
  <c r="X679" i="3"/>
  <c r="Y679" i="3"/>
  <c r="Z679" i="3"/>
  <c r="AA679" i="3"/>
  <c r="V680" i="3"/>
  <c r="W680" i="3"/>
  <c r="X680" i="3"/>
  <c r="Y680" i="3"/>
  <c r="Z680" i="3"/>
  <c r="AA680" i="3"/>
  <c r="V681" i="3"/>
  <c r="W681" i="3"/>
  <c r="X681" i="3"/>
  <c r="Y681" i="3"/>
  <c r="Z681" i="3"/>
  <c r="AA681" i="3"/>
  <c r="V682" i="3"/>
  <c r="W682" i="3"/>
  <c r="X682" i="3"/>
  <c r="Y682" i="3"/>
  <c r="Z682" i="3"/>
  <c r="AA682" i="3"/>
  <c r="V683" i="3"/>
  <c r="W683" i="3"/>
  <c r="X683" i="3"/>
  <c r="Y683" i="3"/>
  <c r="Z683" i="3"/>
  <c r="AA683" i="3"/>
  <c r="V684" i="3"/>
  <c r="W684" i="3"/>
  <c r="X684" i="3"/>
  <c r="Y684" i="3"/>
  <c r="Z684" i="3"/>
  <c r="AA684" i="3"/>
  <c r="V685" i="3"/>
  <c r="W685" i="3"/>
  <c r="X685" i="3"/>
  <c r="Y685" i="3"/>
  <c r="Z685" i="3"/>
  <c r="AA685" i="3"/>
  <c r="V686" i="3"/>
  <c r="W686" i="3"/>
  <c r="X686" i="3"/>
  <c r="Y686" i="3"/>
  <c r="Z686" i="3"/>
  <c r="AA686" i="3"/>
  <c r="V687" i="3"/>
  <c r="W687" i="3"/>
  <c r="X687" i="3"/>
  <c r="Y687" i="3"/>
  <c r="Z687" i="3"/>
  <c r="AA687" i="3"/>
  <c r="V688" i="3"/>
  <c r="W688" i="3"/>
  <c r="X688" i="3"/>
  <c r="Y688" i="3"/>
  <c r="Z688" i="3"/>
  <c r="AA688" i="3"/>
  <c r="V689" i="3"/>
  <c r="W689" i="3"/>
  <c r="X689" i="3"/>
  <c r="Y689" i="3"/>
  <c r="Z689" i="3"/>
  <c r="AA689" i="3"/>
  <c r="V690" i="3"/>
  <c r="W690" i="3"/>
  <c r="X690" i="3"/>
  <c r="Y690" i="3"/>
  <c r="Z690" i="3"/>
  <c r="AA690" i="3"/>
  <c r="V691" i="3"/>
  <c r="W691" i="3"/>
  <c r="X691" i="3"/>
  <c r="Y691" i="3"/>
  <c r="Z691" i="3"/>
  <c r="AA691" i="3"/>
  <c r="V692" i="3"/>
  <c r="W692" i="3"/>
  <c r="X692" i="3"/>
  <c r="Y692" i="3"/>
  <c r="Z692" i="3"/>
  <c r="AA692" i="3"/>
  <c r="V693" i="3"/>
  <c r="W693" i="3"/>
  <c r="X693" i="3"/>
  <c r="Y693" i="3"/>
  <c r="Z693" i="3"/>
  <c r="AA693" i="3"/>
  <c r="V694" i="3"/>
  <c r="W694" i="3"/>
  <c r="X694" i="3"/>
  <c r="Y694" i="3"/>
  <c r="Z694" i="3"/>
  <c r="AA694" i="3"/>
  <c r="V695" i="3"/>
  <c r="W695" i="3"/>
  <c r="X695" i="3"/>
  <c r="Y695" i="3"/>
  <c r="Z695" i="3"/>
  <c r="AA695" i="3"/>
  <c r="V696" i="3"/>
  <c r="W696" i="3"/>
  <c r="X696" i="3"/>
  <c r="Y696" i="3"/>
  <c r="Z696" i="3"/>
  <c r="AA696" i="3"/>
  <c r="V697" i="3"/>
  <c r="W697" i="3"/>
  <c r="X697" i="3"/>
  <c r="Y697" i="3"/>
  <c r="Z697" i="3"/>
  <c r="AA697" i="3"/>
  <c r="V698" i="3"/>
  <c r="W698" i="3"/>
  <c r="X698" i="3"/>
  <c r="Y698" i="3"/>
  <c r="Z698" i="3"/>
  <c r="AA698" i="3"/>
  <c r="V699" i="3"/>
  <c r="W699" i="3"/>
  <c r="X699" i="3"/>
  <c r="Y699" i="3"/>
  <c r="Z699" i="3"/>
  <c r="AA699" i="3"/>
  <c r="V700" i="3"/>
  <c r="W700" i="3"/>
  <c r="X700" i="3"/>
  <c r="Y700" i="3"/>
  <c r="Z700" i="3"/>
  <c r="AA700" i="3"/>
  <c r="V701" i="3"/>
  <c r="W701" i="3"/>
  <c r="X701" i="3"/>
  <c r="Y701" i="3"/>
  <c r="Z701" i="3"/>
  <c r="AA701" i="3"/>
  <c r="V702" i="3"/>
  <c r="W702" i="3"/>
  <c r="X702" i="3"/>
  <c r="Y702" i="3"/>
  <c r="Z702" i="3"/>
  <c r="AA702" i="3"/>
  <c r="V703" i="3"/>
  <c r="W703" i="3"/>
  <c r="X703" i="3"/>
  <c r="Y703" i="3"/>
  <c r="Z703" i="3"/>
  <c r="AA703" i="3"/>
  <c r="V704" i="3"/>
  <c r="W704" i="3"/>
  <c r="X704" i="3"/>
  <c r="Y704" i="3"/>
  <c r="Z704" i="3"/>
  <c r="AA704" i="3"/>
  <c r="V705" i="3"/>
  <c r="W705" i="3"/>
  <c r="X705" i="3"/>
  <c r="Y705" i="3"/>
  <c r="Z705" i="3"/>
  <c r="AA705" i="3"/>
  <c r="V706" i="3"/>
  <c r="W706" i="3"/>
  <c r="X706" i="3"/>
  <c r="Y706" i="3"/>
  <c r="Z706" i="3"/>
  <c r="AA706" i="3"/>
  <c r="V707" i="3"/>
  <c r="W707" i="3"/>
  <c r="X707" i="3"/>
  <c r="Y707" i="3"/>
  <c r="Z707" i="3"/>
  <c r="AA707" i="3"/>
  <c r="V708" i="3"/>
  <c r="W708" i="3"/>
  <c r="X708" i="3"/>
  <c r="Y708" i="3"/>
  <c r="Z708" i="3"/>
  <c r="AA708" i="3"/>
  <c r="V709" i="3"/>
  <c r="W709" i="3"/>
  <c r="X709" i="3"/>
  <c r="Y709" i="3"/>
  <c r="Z709" i="3"/>
  <c r="AA709" i="3"/>
  <c r="V710" i="3"/>
  <c r="W710" i="3"/>
  <c r="X710" i="3"/>
  <c r="Y710" i="3"/>
  <c r="Z710" i="3"/>
  <c r="AA710" i="3"/>
  <c r="V711" i="3"/>
  <c r="W711" i="3"/>
  <c r="X711" i="3"/>
  <c r="Y711" i="3"/>
  <c r="Z711" i="3"/>
  <c r="AA711" i="3"/>
  <c r="V712" i="3"/>
  <c r="W712" i="3"/>
  <c r="X712" i="3"/>
  <c r="Y712" i="3"/>
  <c r="Z712" i="3"/>
  <c r="AA712" i="3"/>
  <c r="V713" i="3"/>
  <c r="W713" i="3"/>
  <c r="X713" i="3"/>
  <c r="Y713" i="3"/>
  <c r="Z713" i="3"/>
  <c r="AA713" i="3"/>
  <c r="V714" i="3"/>
  <c r="W714" i="3"/>
  <c r="X714" i="3"/>
  <c r="Y714" i="3"/>
  <c r="Z714" i="3"/>
  <c r="AA714" i="3"/>
  <c r="V715" i="3"/>
  <c r="W715" i="3"/>
  <c r="X715" i="3"/>
  <c r="Y715" i="3"/>
  <c r="Z715" i="3"/>
  <c r="AA715" i="3"/>
  <c r="V716" i="3"/>
  <c r="W716" i="3"/>
  <c r="X716" i="3"/>
  <c r="Y716" i="3"/>
  <c r="Z716" i="3"/>
  <c r="AA716" i="3"/>
  <c r="V717" i="3"/>
  <c r="W717" i="3"/>
  <c r="X717" i="3"/>
  <c r="Y717" i="3"/>
  <c r="Z717" i="3"/>
  <c r="AA717" i="3"/>
  <c r="V718" i="3"/>
  <c r="W718" i="3"/>
  <c r="X718" i="3"/>
  <c r="Y718" i="3"/>
  <c r="Z718" i="3"/>
  <c r="AA718" i="3"/>
  <c r="V719" i="3"/>
  <c r="W719" i="3"/>
  <c r="X719" i="3"/>
  <c r="Y719" i="3"/>
  <c r="Z719" i="3"/>
  <c r="AA719" i="3"/>
  <c r="V720" i="3"/>
  <c r="W720" i="3"/>
  <c r="X720" i="3"/>
  <c r="Y720" i="3"/>
  <c r="Z720" i="3"/>
  <c r="AA720" i="3"/>
  <c r="V721" i="3"/>
  <c r="W721" i="3"/>
  <c r="X721" i="3"/>
  <c r="Y721" i="3"/>
  <c r="Z721" i="3"/>
  <c r="AA721" i="3"/>
  <c r="V722" i="3"/>
  <c r="W722" i="3"/>
  <c r="X722" i="3"/>
  <c r="Y722" i="3"/>
  <c r="Z722" i="3"/>
  <c r="AA722" i="3"/>
  <c r="V723" i="3"/>
  <c r="W723" i="3"/>
  <c r="X723" i="3"/>
  <c r="Y723" i="3"/>
  <c r="Z723" i="3"/>
  <c r="AA723" i="3"/>
  <c r="V724" i="3"/>
  <c r="W724" i="3"/>
  <c r="X724" i="3"/>
  <c r="Y724" i="3"/>
  <c r="Z724" i="3"/>
  <c r="AA724" i="3"/>
  <c r="V725" i="3"/>
  <c r="W725" i="3"/>
  <c r="X725" i="3"/>
  <c r="Y725" i="3"/>
  <c r="Z725" i="3"/>
  <c r="AA725" i="3"/>
  <c r="V726" i="3"/>
  <c r="W726" i="3"/>
  <c r="X726" i="3"/>
  <c r="Y726" i="3"/>
  <c r="Z726" i="3"/>
  <c r="AA726" i="3"/>
  <c r="V727" i="3"/>
  <c r="W727" i="3"/>
  <c r="X727" i="3"/>
  <c r="Y727" i="3"/>
  <c r="Z727" i="3"/>
  <c r="AA727" i="3"/>
  <c r="V728" i="3"/>
  <c r="W728" i="3"/>
  <c r="X728" i="3"/>
  <c r="Y728" i="3"/>
  <c r="Z728" i="3"/>
  <c r="AA728" i="3"/>
  <c r="V729" i="3"/>
  <c r="W729" i="3"/>
  <c r="X729" i="3"/>
  <c r="Y729" i="3"/>
  <c r="Z729" i="3"/>
  <c r="AA729" i="3"/>
  <c r="V730" i="3"/>
  <c r="W730" i="3"/>
  <c r="X730" i="3"/>
  <c r="Y730" i="3"/>
  <c r="Z730" i="3"/>
  <c r="AA730" i="3"/>
  <c r="V731" i="3"/>
  <c r="W731" i="3"/>
  <c r="X731" i="3"/>
  <c r="Y731" i="3"/>
  <c r="Z731" i="3"/>
  <c r="AA731" i="3"/>
  <c r="V732" i="3"/>
  <c r="W732" i="3"/>
  <c r="X732" i="3"/>
  <c r="Y732" i="3"/>
  <c r="Z732" i="3"/>
  <c r="AA732" i="3"/>
  <c r="V733" i="3"/>
  <c r="W733" i="3"/>
  <c r="X733" i="3"/>
  <c r="Y733" i="3"/>
  <c r="Z733" i="3"/>
  <c r="AA733" i="3"/>
  <c r="V734" i="3"/>
  <c r="W734" i="3"/>
  <c r="X734" i="3"/>
  <c r="Y734" i="3"/>
  <c r="Z734" i="3"/>
  <c r="AA734" i="3"/>
  <c r="V735" i="3"/>
  <c r="W735" i="3"/>
  <c r="X735" i="3"/>
  <c r="Y735" i="3"/>
  <c r="Z735" i="3"/>
  <c r="AA735" i="3"/>
  <c r="V736" i="3"/>
  <c r="W736" i="3"/>
  <c r="X736" i="3"/>
  <c r="Y736" i="3"/>
  <c r="Z736" i="3"/>
  <c r="AA736" i="3"/>
  <c r="V737" i="3"/>
  <c r="W737" i="3"/>
  <c r="X737" i="3"/>
  <c r="Y737" i="3"/>
  <c r="Z737" i="3"/>
  <c r="AA737" i="3"/>
  <c r="V738" i="3"/>
  <c r="W738" i="3"/>
  <c r="X738" i="3"/>
  <c r="Y738" i="3"/>
  <c r="Z738" i="3"/>
  <c r="AA738" i="3"/>
  <c r="V739" i="3"/>
  <c r="W739" i="3"/>
  <c r="X739" i="3"/>
  <c r="Y739" i="3"/>
  <c r="Z739" i="3"/>
  <c r="AA739" i="3"/>
  <c r="V740" i="3"/>
  <c r="W740" i="3"/>
  <c r="X740" i="3"/>
  <c r="Y740" i="3"/>
  <c r="Z740" i="3"/>
  <c r="AA740" i="3"/>
  <c r="V741" i="3"/>
  <c r="W741" i="3"/>
  <c r="X741" i="3"/>
  <c r="Y741" i="3"/>
  <c r="Z741" i="3"/>
  <c r="AA741" i="3"/>
  <c r="V742" i="3"/>
  <c r="W742" i="3"/>
  <c r="X742" i="3"/>
  <c r="Y742" i="3"/>
  <c r="Z742" i="3"/>
  <c r="AA742" i="3"/>
  <c r="V743" i="3"/>
  <c r="W743" i="3"/>
  <c r="X743" i="3"/>
  <c r="Y743" i="3"/>
  <c r="Z743" i="3"/>
  <c r="AA743" i="3"/>
  <c r="V744" i="3"/>
  <c r="W744" i="3"/>
  <c r="X744" i="3"/>
  <c r="Y744" i="3"/>
  <c r="Z744" i="3"/>
  <c r="AA744" i="3"/>
  <c r="V745" i="3"/>
  <c r="W745" i="3"/>
  <c r="X745" i="3"/>
  <c r="Y745" i="3"/>
  <c r="Z745" i="3"/>
  <c r="AA745" i="3"/>
  <c r="V746" i="3"/>
  <c r="W746" i="3"/>
  <c r="X746" i="3"/>
  <c r="Y746" i="3"/>
  <c r="Z746" i="3"/>
  <c r="AA746" i="3"/>
  <c r="V747" i="3"/>
  <c r="W747" i="3"/>
  <c r="X747" i="3"/>
  <c r="Y747" i="3"/>
  <c r="Z747" i="3"/>
  <c r="AA747" i="3"/>
  <c r="V748" i="3"/>
  <c r="W748" i="3"/>
  <c r="X748" i="3"/>
  <c r="Y748" i="3"/>
  <c r="Z748" i="3"/>
  <c r="AA748" i="3"/>
  <c r="V749" i="3"/>
  <c r="W749" i="3"/>
  <c r="X749" i="3"/>
  <c r="Y749" i="3"/>
  <c r="Z749" i="3"/>
  <c r="AA749" i="3"/>
  <c r="V750" i="3"/>
  <c r="W750" i="3"/>
  <c r="X750" i="3"/>
  <c r="Y750" i="3"/>
  <c r="Z750" i="3"/>
  <c r="AA750" i="3"/>
  <c r="V751" i="3"/>
  <c r="W751" i="3"/>
  <c r="X751" i="3"/>
  <c r="Y751" i="3"/>
  <c r="Z751" i="3"/>
  <c r="AA751" i="3"/>
  <c r="V752" i="3"/>
  <c r="W752" i="3"/>
  <c r="X752" i="3"/>
  <c r="Y752" i="3"/>
  <c r="Z752" i="3"/>
  <c r="AA752" i="3"/>
  <c r="V753" i="3"/>
  <c r="W753" i="3"/>
  <c r="X753" i="3"/>
  <c r="Y753" i="3"/>
  <c r="Z753" i="3"/>
  <c r="AA753" i="3"/>
  <c r="V754" i="3"/>
  <c r="W754" i="3"/>
  <c r="X754" i="3"/>
  <c r="Y754" i="3"/>
  <c r="Z754" i="3"/>
  <c r="AA754" i="3"/>
  <c r="V755" i="3"/>
  <c r="W755" i="3"/>
  <c r="X755" i="3"/>
  <c r="Y755" i="3"/>
  <c r="Z755" i="3"/>
  <c r="AA755" i="3"/>
  <c r="V756" i="3"/>
  <c r="W756" i="3"/>
  <c r="X756" i="3"/>
  <c r="Y756" i="3"/>
  <c r="Z756" i="3"/>
  <c r="AA756" i="3"/>
  <c r="V757" i="3"/>
  <c r="W757" i="3"/>
  <c r="X757" i="3"/>
  <c r="Y757" i="3"/>
  <c r="Z757" i="3"/>
  <c r="AA757" i="3"/>
  <c r="V758" i="3"/>
  <c r="W758" i="3"/>
  <c r="X758" i="3"/>
  <c r="Y758" i="3"/>
  <c r="Z758" i="3"/>
  <c r="AA758" i="3"/>
  <c r="V759" i="3"/>
  <c r="W759" i="3"/>
  <c r="X759" i="3"/>
  <c r="Y759" i="3"/>
  <c r="Z759" i="3"/>
  <c r="AA759" i="3"/>
  <c r="V760" i="3"/>
  <c r="W760" i="3"/>
  <c r="X760" i="3"/>
  <c r="Y760" i="3"/>
  <c r="Z760" i="3"/>
  <c r="AA760" i="3"/>
  <c r="V761" i="3"/>
  <c r="W761" i="3"/>
  <c r="X761" i="3"/>
  <c r="Y761" i="3"/>
  <c r="Z761" i="3"/>
  <c r="AA761" i="3"/>
  <c r="V762" i="3"/>
  <c r="W762" i="3"/>
  <c r="X762" i="3"/>
  <c r="Y762" i="3"/>
  <c r="Z762" i="3"/>
  <c r="AA762" i="3"/>
  <c r="V763" i="3"/>
  <c r="W763" i="3"/>
  <c r="X763" i="3"/>
  <c r="Y763" i="3"/>
  <c r="Z763" i="3"/>
  <c r="AA763" i="3"/>
  <c r="V764" i="3"/>
  <c r="W764" i="3"/>
  <c r="X764" i="3"/>
  <c r="Y764" i="3"/>
  <c r="Z764" i="3"/>
  <c r="AA764" i="3"/>
  <c r="V765" i="3"/>
  <c r="W765" i="3"/>
  <c r="X765" i="3"/>
  <c r="Y765" i="3"/>
  <c r="Z765" i="3"/>
  <c r="AA765" i="3"/>
  <c r="V766" i="3"/>
  <c r="W766" i="3"/>
  <c r="X766" i="3"/>
  <c r="Y766" i="3"/>
  <c r="Z766" i="3"/>
  <c r="AA766" i="3"/>
  <c r="V767" i="3"/>
  <c r="W767" i="3"/>
  <c r="X767" i="3"/>
  <c r="Y767" i="3"/>
  <c r="Z767" i="3"/>
  <c r="AA767" i="3"/>
  <c r="V768" i="3"/>
  <c r="W768" i="3"/>
  <c r="X768" i="3"/>
  <c r="Y768" i="3"/>
  <c r="Z768" i="3"/>
  <c r="AA768" i="3"/>
  <c r="V769" i="3"/>
  <c r="W769" i="3"/>
  <c r="X769" i="3"/>
  <c r="Y769" i="3"/>
  <c r="Z769" i="3"/>
  <c r="AA769" i="3"/>
  <c r="V770" i="3"/>
  <c r="W770" i="3"/>
  <c r="X770" i="3"/>
  <c r="Y770" i="3"/>
  <c r="Z770" i="3"/>
  <c r="AA770" i="3"/>
  <c r="V771" i="3"/>
  <c r="W771" i="3"/>
  <c r="X771" i="3"/>
  <c r="Y771" i="3"/>
  <c r="Z771" i="3"/>
  <c r="AA771" i="3"/>
  <c r="V772" i="3"/>
  <c r="W772" i="3"/>
  <c r="X772" i="3"/>
  <c r="Y772" i="3"/>
  <c r="Z772" i="3"/>
  <c r="AA772" i="3"/>
  <c r="V773" i="3"/>
  <c r="W773" i="3"/>
  <c r="X773" i="3"/>
  <c r="Y773" i="3"/>
  <c r="Z773" i="3"/>
  <c r="AA773" i="3"/>
  <c r="V774" i="3"/>
  <c r="W774" i="3"/>
  <c r="X774" i="3"/>
  <c r="Y774" i="3"/>
  <c r="Z774" i="3"/>
  <c r="AA774" i="3"/>
  <c r="V775" i="3"/>
  <c r="W775" i="3"/>
  <c r="X775" i="3"/>
  <c r="Y775" i="3"/>
  <c r="Z775" i="3"/>
  <c r="AA775" i="3"/>
  <c r="V776" i="3"/>
  <c r="W776" i="3"/>
  <c r="X776" i="3"/>
  <c r="Y776" i="3"/>
  <c r="Z776" i="3"/>
  <c r="AA776" i="3"/>
  <c r="V777" i="3"/>
  <c r="W777" i="3"/>
  <c r="X777" i="3"/>
  <c r="Y777" i="3"/>
  <c r="Z777" i="3"/>
  <c r="AA777" i="3"/>
  <c r="V778" i="3"/>
  <c r="W778" i="3"/>
  <c r="X778" i="3"/>
  <c r="Y778" i="3"/>
  <c r="Z778" i="3"/>
  <c r="AA778" i="3"/>
  <c r="V779" i="3"/>
  <c r="W779" i="3"/>
  <c r="X779" i="3"/>
  <c r="Y779" i="3"/>
  <c r="Z779" i="3"/>
  <c r="AA779" i="3"/>
  <c r="V780" i="3"/>
  <c r="W780" i="3"/>
  <c r="X780" i="3"/>
  <c r="Y780" i="3"/>
  <c r="Z780" i="3"/>
  <c r="AA780" i="3"/>
  <c r="V781" i="3"/>
  <c r="W781" i="3"/>
  <c r="X781" i="3"/>
  <c r="Y781" i="3"/>
  <c r="Z781" i="3"/>
  <c r="AA781" i="3"/>
  <c r="V782" i="3"/>
  <c r="W782" i="3"/>
  <c r="X782" i="3"/>
  <c r="Y782" i="3"/>
  <c r="Z782" i="3"/>
  <c r="AA782" i="3"/>
  <c r="V783" i="3"/>
  <c r="W783" i="3"/>
  <c r="X783" i="3"/>
  <c r="Y783" i="3"/>
  <c r="Z783" i="3"/>
  <c r="AA783" i="3"/>
  <c r="V784" i="3"/>
  <c r="W784" i="3"/>
  <c r="X784" i="3"/>
  <c r="Y784" i="3"/>
  <c r="Z784" i="3"/>
  <c r="AA784" i="3"/>
  <c r="V785" i="3"/>
  <c r="W785" i="3"/>
  <c r="X785" i="3"/>
  <c r="Y785" i="3"/>
  <c r="Z785" i="3"/>
  <c r="AA785" i="3"/>
  <c r="V786" i="3"/>
  <c r="W786" i="3"/>
  <c r="X786" i="3"/>
  <c r="Y786" i="3"/>
  <c r="Z786" i="3"/>
  <c r="AA786" i="3"/>
  <c r="V787" i="3"/>
  <c r="W787" i="3"/>
  <c r="X787" i="3"/>
  <c r="Y787" i="3"/>
  <c r="Z787" i="3"/>
  <c r="AA787" i="3"/>
  <c r="V788" i="3"/>
  <c r="W788" i="3"/>
  <c r="X788" i="3"/>
  <c r="Y788" i="3"/>
  <c r="Z788" i="3"/>
  <c r="AA788" i="3"/>
  <c r="V789" i="3"/>
  <c r="W789" i="3"/>
  <c r="X789" i="3"/>
  <c r="Y789" i="3"/>
  <c r="Z789" i="3"/>
  <c r="AA789" i="3"/>
  <c r="V790" i="3"/>
  <c r="W790" i="3"/>
  <c r="X790" i="3"/>
  <c r="Y790" i="3"/>
  <c r="Z790" i="3"/>
  <c r="AA790" i="3"/>
  <c r="V791" i="3"/>
  <c r="W791" i="3"/>
  <c r="X791" i="3"/>
  <c r="Y791" i="3"/>
  <c r="Z791" i="3"/>
  <c r="AA791" i="3"/>
  <c r="V792" i="3"/>
  <c r="W792" i="3"/>
  <c r="X792" i="3"/>
  <c r="Y792" i="3"/>
  <c r="Z792" i="3"/>
  <c r="AA792" i="3"/>
  <c r="V793" i="3"/>
  <c r="W793" i="3"/>
  <c r="X793" i="3"/>
  <c r="Y793" i="3"/>
  <c r="Z793" i="3"/>
  <c r="AA793" i="3"/>
  <c r="V794" i="3"/>
  <c r="W794" i="3"/>
  <c r="X794" i="3"/>
  <c r="Y794" i="3"/>
  <c r="Z794" i="3"/>
  <c r="AA794" i="3"/>
  <c r="V795" i="3"/>
  <c r="W795" i="3"/>
  <c r="X795" i="3"/>
  <c r="Y795" i="3"/>
  <c r="Z795" i="3"/>
  <c r="AA795" i="3"/>
  <c r="V796" i="3"/>
  <c r="W796" i="3"/>
  <c r="X796" i="3"/>
  <c r="Y796" i="3"/>
  <c r="Z796" i="3"/>
  <c r="AA796" i="3"/>
  <c r="V797" i="3"/>
  <c r="W797" i="3"/>
  <c r="X797" i="3"/>
  <c r="Y797" i="3"/>
  <c r="Z797" i="3"/>
  <c r="AA797" i="3"/>
  <c r="V798" i="3"/>
  <c r="W798" i="3"/>
  <c r="X798" i="3"/>
  <c r="Y798" i="3"/>
  <c r="Z798" i="3"/>
  <c r="AA798" i="3"/>
  <c r="V799" i="3"/>
  <c r="W799" i="3"/>
  <c r="X799" i="3"/>
  <c r="Y799" i="3"/>
  <c r="Z799" i="3"/>
  <c r="AA799" i="3"/>
  <c r="V800" i="3"/>
  <c r="W800" i="3"/>
  <c r="X800" i="3"/>
  <c r="Y800" i="3"/>
  <c r="Z800" i="3"/>
  <c r="AA800" i="3"/>
  <c r="V801" i="3"/>
  <c r="W801" i="3"/>
  <c r="X801" i="3"/>
  <c r="Y801" i="3"/>
  <c r="Z801" i="3"/>
  <c r="AA801" i="3"/>
  <c r="V802" i="3"/>
  <c r="W802" i="3"/>
  <c r="X802" i="3"/>
  <c r="Y802" i="3"/>
  <c r="Z802" i="3"/>
  <c r="AA802" i="3"/>
  <c r="V803" i="3"/>
  <c r="W803" i="3"/>
  <c r="X803" i="3"/>
  <c r="Y803" i="3"/>
  <c r="Z803" i="3"/>
  <c r="AA803" i="3"/>
  <c r="V804" i="3"/>
  <c r="W804" i="3"/>
  <c r="X804" i="3"/>
  <c r="Y804" i="3"/>
  <c r="Z804" i="3"/>
  <c r="AA804" i="3"/>
  <c r="V805" i="3"/>
  <c r="W805" i="3"/>
  <c r="X805" i="3"/>
  <c r="Y805" i="3"/>
  <c r="Z805" i="3"/>
  <c r="AA805" i="3"/>
  <c r="V806" i="3"/>
  <c r="W806" i="3"/>
  <c r="X806" i="3"/>
  <c r="Y806" i="3"/>
  <c r="Z806" i="3"/>
  <c r="AA806" i="3"/>
  <c r="V807" i="3"/>
  <c r="W807" i="3"/>
  <c r="X807" i="3"/>
  <c r="Y807" i="3"/>
  <c r="Z807" i="3"/>
  <c r="AA807" i="3"/>
  <c r="V808" i="3"/>
  <c r="W808" i="3"/>
  <c r="X808" i="3"/>
  <c r="Y808" i="3"/>
  <c r="Z808" i="3"/>
  <c r="AA808" i="3"/>
  <c r="V809" i="3"/>
  <c r="W809" i="3"/>
  <c r="X809" i="3"/>
  <c r="Y809" i="3"/>
  <c r="Z809" i="3"/>
  <c r="AA809" i="3"/>
  <c r="V810" i="3"/>
  <c r="W810" i="3"/>
  <c r="X810" i="3"/>
  <c r="Y810" i="3"/>
  <c r="Z810" i="3"/>
  <c r="AA810" i="3"/>
  <c r="V811" i="3"/>
  <c r="W811" i="3"/>
  <c r="X811" i="3"/>
  <c r="Y811" i="3"/>
  <c r="Z811" i="3"/>
  <c r="AA811" i="3"/>
  <c r="V812" i="3"/>
  <c r="W812" i="3"/>
  <c r="X812" i="3"/>
  <c r="Y812" i="3"/>
  <c r="Z812" i="3"/>
  <c r="AA812" i="3"/>
  <c r="V813" i="3"/>
  <c r="W813" i="3"/>
  <c r="X813" i="3"/>
  <c r="Y813" i="3"/>
  <c r="Z813" i="3"/>
  <c r="AA813" i="3"/>
  <c r="V814" i="3"/>
  <c r="W814" i="3"/>
  <c r="X814" i="3"/>
  <c r="Y814" i="3"/>
  <c r="Z814" i="3"/>
  <c r="AA814" i="3"/>
  <c r="V815" i="3"/>
  <c r="W815" i="3"/>
  <c r="X815" i="3"/>
  <c r="Y815" i="3"/>
  <c r="Z815" i="3"/>
  <c r="AA815" i="3"/>
  <c r="V816" i="3"/>
  <c r="W816" i="3"/>
  <c r="X816" i="3"/>
  <c r="Y816" i="3"/>
  <c r="Z816" i="3"/>
  <c r="AA816" i="3"/>
  <c r="V817" i="3"/>
  <c r="W817" i="3"/>
  <c r="X817" i="3"/>
  <c r="Y817" i="3"/>
  <c r="Z817" i="3"/>
  <c r="AA817" i="3"/>
  <c r="V818" i="3"/>
  <c r="W818" i="3"/>
  <c r="X818" i="3"/>
  <c r="Y818" i="3"/>
  <c r="Z818" i="3"/>
  <c r="AA818" i="3"/>
  <c r="V819" i="3"/>
  <c r="W819" i="3"/>
  <c r="X819" i="3"/>
  <c r="Y819" i="3"/>
  <c r="Z819" i="3"/>
  <c r="AA819" i="3"/>
  <c r="V820" i="3"/>
  <c r="W820" i="3"/>
  <c r="X820" i="3"/>
  <c r="Y820" i="3"/>
  <c r="Z820" i="3"/>
  <c r="AA820" i="3"/>
  <c r="V821" i="3"/>
  <c r="W821" i="3"/>
  <c r="X821" i="3"/>
  <c r="Y821" i="3"/>
  <c r="Z821" i="3"/>
  <c r="AA821" i="3"/>
  <c r="V822" i="3"/>
  <c r="W822" i="3"/>
  <c r="X822" i="3"/>
  <c r="Y822" i="3"/>
  <c r="Z822" i="3"/>
  <c r="AA822" i="3"/>
  <c r="V823" i="3"/>
  <c r="W823" i="3"/>
  <c r="X823" i="3"/>
  <c r="Y823" i="3"/>
  <c r="Z823" i="3"/>
  <c r="AA823" i="3"/>
  <c r="V824" i="3"/>
  <c r="W824" i="3"/>
  <c r="X824" i="3"/>
  <c r="Y824" i="3"/>
  <c r="Z824" i="3"/>
  <c r="AA824" i="3"/>
  <c r="V825" i="3"/>
  <c r="W825" i="3"/>
  <c r="X825" i="3"/>
  <c r="Y825" i="3"/>
  <c r="Z825" i="3"/>
  <c r="AA825" i="3"/>
  <c r="V826" i="3"/>
  <c r="W826" i="3"/>
  <c r="X826" i="3"/>
  <c r="Y826" i="3"/>
  <c r="Z826" i="3"/>
  <c r="AA826" i="3"/>
  <c r="V827" i="3"/>
  <c r="W827" i="3"/>
  <c r="X827" i="3"/>
  <c r="Y827" i="3"/>
  <c r="Z827" i="3"/>
  <c r="AA827" i="3"/>
  <c r="V828" i="3"/>
  <c r="W828" i="3"/>
  <c r="X828" i="3"/>
  <c r="Y828" i="3"/>
  <c r="Z828" i="3"/>
  <c r="AA828" i="3"/>
  <c r="V829" i="3"/>
  <c r="W829" i="3"/>
  <c r="X829" i="3"/>
  <c r="Y829" i="3"/>
  <c r="Z829" i="3"/>
  <c r="AA829" i="3"/>
  <c r="V830" i="3"/>
  <c r="W830" i="3"/>
  <c r="X830" i="3"/>
  <c r="Y830" i="3"/>
  <c r="Z830" i="3"/>
  <c r="AA830" i="3"/>
  <c r="V831" i="3"/>
  <c r="W831" i="3"/>
  <c r="X831" i="3"/>
  <c r="Y831" i="3"/>
  <c r="Z831" i="3"/>
  <c r="AA831" i="3"/>
  <c r="V832" i="3"/>
  <c r="W832" i="3"/>
  <c r="X832" i="3"/>
  <c r="Y832" i="3"/>
  <c r="Z832" i="3"/>
  <c r="AA832" i="3"/>
  <c r="V833" i="3"/>
  <c r="W833" i="3"/>
  <c r="X833" i="3"/>
  <c r="Y833" i="3"/>
  <c r="Z833" i="3"/>
  <c r="AA833" i="3"/>
  <c r="V834" i="3"/>
  <c r="W834" i="3"/>
  <c r="X834" i="3"/>
  <c r="Y834" i="3"/>
  <c r="Z834" i="3"/>
  <c r="AA834" i="3"/>
  <c r="V835" i="3"/>
  <c r="W835" i="3"/>
  <c r="X835" i="3"/>
  <c r="Y835" i="3"/>
  <c r="Z835" i="3"/>
  <c r="AA835" i="3"/>
  <c r="V836" i="3"/>
  <c r="W836" i="3"/>
  <c r="X836" i="3"/>
  <c r="Y836" i="3"/>
  <c r="Z836" i="3"/>
  <c r="AA836" i="3"/>
  <c r="V837" i="3"/>
  <c r="W837" i="3"/>
  <c r="X837" i="3"/>
  <c r="Y837" i="3"/>
  <c r="Z837" i="3"/>
  <c r="AA837" i="3"/>
  <c r="V838" i="3"/>
  <c r="W838" i="3"/>
  <c r="X838" i="3"/>
  <c r="Y838" i="3"/>
  <c r="Z838" i="3"/>
  <c r="AA838" i="3"/>
  <c r="V839" i="3"/>
  <c r="W839" i="3"/>
  <c r="X839" i="3"/>
  <c r="Y839" i="3"/>
  <c r="Z839" i="3"/>
  <c r="AA839" i="3"/>
  <c r="V840" i="3"/>
  <c r="W840" i="3"/>
  <c r="X840" i="3"/>
  <c r="Y840" i="3"/>
  <c r="Z840" i="3"/>
  <c r="AA840" i="3"/>
  <c r="V841" i="3"/>
  <c r="W841" i="3"/>
  <c r="X841" i="3"/>
  <c r="Y841" i="3"/>
  <c r="Z841" i="3"/>
  <c r="AA841" i="3"/>
  <c r="V842" i="3"/>
  <c r="W842" i="3"/>
  <c r="X842" i="3"/>
  <c r="Y842" i="3"/>
  <c r="Z842" i="3"/>
  <c r="AA842" i="3"/>
  <c r="V843" i="3"/>
  <c r="W843" i="3"/>
  <c r="X843" i="3"/>
  <c r="Y843" i="3"/>
  <c r="Z843" i="3"/>
  <c r="AA843" i="3"/>
  <c r="V844" i="3"/>
  <c r="W844" i="3"/>
  <c r="X844" i="3"/>
  <c r="Y844" i="3"/>
  <c r="Z844" i="3"/>
  <c r="AA844" i="3"/>
  <c r="V845" i="3"/>
  <c r="W845" i="3"/>
  <c r="X845" i="3"/>
  <c r="Y845" i="3"/>
  <c r="Z845" i="3"/>
  <c r="AA845" i="3"/>
  <c r="V846" i="3"/>
  <c r="W846" i="3"/>
  <c r="X846" i="3"/>
  <c r="Y846" i="3"/>
  <c r="Z846" i="3"/>
  <c r="AA846" i="3"/>
  <c r="V847" i="3"/>
  <c r="W847" i="3"/>
  <c r="X847" i="3"/>
  <c r="Y847" i="3"/>
  <c r="Z847" i="3"/>
  <c r="AA847" i="3"/>
  <c r="V848" i="3"/>
  <c r="W848" i="3"/>
  <c r="X848" i="3"/>
  <c r="Y848" i="3"/>
  <c r="Z848" i="3"/>
  <c r="AA848" i="3"/>
  <c r="V849" i="3"/>
  <c r="W849" i="3"/>
  <c r="X849" i="3"/>
  <c r="Y849" i="3"/>
  <c r="Z849" i="3"/>
  <c r="AA849" i="3"/>
  <c r="V850" i="3"/>
  <c r="W850" i="3"/>
  <c r="X850" i="3"/>
  <c r="Y850" i="3"/>
  <c r="Z850" i="3"/>
  <c r="AA850" i="3"/>
  <c r="V851" i="3"/>
  <c r="W851" i="3"/>
  <c r="X851" i="3"/>
  <c r="Y851" i="3"/>
  <c r="Z851" i="3"/>
  <c r="AA851" i="3"/>
  <c r="V852" i="3"/>
  <c r="W852" i="3"/>
  <c r="X852" i="3"/>
  <c r="Y852" i="3"/>
  <c r="Z852" i="3"/>
  <c r="AA852" i="3"/>
  <c r="V853" i="3"/>
  <c r="W853" i="3"/>
  <c r="X853" i="3"/>
  <c r="Y853" i="3"/>
  <c r="Z853" i="3"/>
  <c r="AA853" i="3"/>
  <c r="V854" i="3"/>
  <c r="W854" i="3"/>
  <c r="X854" i="3"/>
  <c r="Y854" i="3"/>
  <c r="Z854" i="3"/>
  <c r="AA854" i="3"/>
  <c r="V855" i="3"/>
  <c r="W855" i="3"/>
  <c r="X855" i="3"/>
  <c r="Y855" i="3"/>
  <c r="Z855" i="3"/>
  <c r="AA855" i="3"/>
  <c r="V856" i="3"/>
  <c r="W856" i="3"/>
  <c r="X856" i="3"/>
  <c r="Y856" i="3"/>
  <c r="Z856" i="3"/>
  <c r="AA856" i="3"/>
  <c r="V857" i="3"/>
  <c r="W857" i="3"/>
  <c r="X857" i="3"/>
  <c r="Y857" i="3"/>
  <c r="Z857" i="3"/>
  <c r="AA857" i="3"/>
  <c r="V858" i="3"/>
  <c r="W858" i="3"/>
  <c r="X858" i="3"/>
  <c r="Y858" i="3"/>
  <c r="Z858" i="3"/>
  <c r="AA858" i="3"/>
  <c r="V859" i="3"/>
  <c r="W859" i="3"/>
  <c r="X859" i="3"/>
  <c r="Y859" i="3"/>
  <c r="Z859" i="3"/>
  <c r="AA859" i="3"/>
  <c r="V860" i="3"/>
  <c r="W860" i="3"/>
  <c r="X860" i="3"/>
  <c r="Y860" i="3"/>
  <c r="Z860" i="3"/>
  <c r="AA860" i="3"/>
  <c r="V861" i="3"/>
  <c r="W861" i="3"/>
  <c r="X861" i="3"/>
  <c r="Y861" i="3"/>
  <c r="Z861" i="3"/>
  <c r="AA861" i="3"/>
  <c r="V862" i="3"/>
  <c r="W862" i="3"/>
  <c r="X862" i="3"/>
  <c r="Y862" i="3"/>
  <c r="Z862" i="3"/>
  <c r="AA862" i="3"/>
  <c r="V863" i="3"/>
  <c r="W863" i="3"/>
  <c r="X863" i="3"/>
  <c r="Y863" i="3"/>
  <c r="Z863" i="3"/>
  <c r="AA863" i="3"/>
  <c r="V864" i="3"/>
  <c r="W864" i="3"/>
  <c r="X864" i="3"/>
  <c r="Y864" i="3"/>
  <c r="Z864" i="3"/>
  <c r="AA864" i="3"/>
  <c r="V865" i="3"/>
  <c r="W865" i="3"/>
  <c r="X865" i="3"/>
  <c r="Y865" i="3"/>
  <c r="Z865" i="3"/>
  <c r="AA865" i="3"/>
  <c r="V866" i="3"/>
  <c r="W866" i="3"/>
  <c r="X866" i="3"/>
  <c r="Y866" i="3"/>
  <c r="Z866" i="3"/>
  <c r="AA866" i="3"/>
  <c r="V867" i="3"/>
  <c r="W867" i="3"/>
  <c r="X867" i="3"/>
  <c r="Y867" i="3"/>
  <c r="Z867" i="3"/>
  <c r="AA867" i="3"/>
  <c r="V868" i="3"/>
  <c r="W868" i="3"/>
  <c r="X868" i="3"/>
  <c r="Y868" i="3"/>
  <c r="Z868" i="3"/>
  <c r="AA868" i="3"/>
  <c r="V869" i="3"/>
  <c r="W869" i="3"/>
  <c r="X869" i="3"/>
  <c r="Y869" i="3"/>
  <c r="Z869" i="3"/>
  <c r="AA869" i="3"/>
  <c r="V870" i="3"/>
  <c r="W870" i="3"/>
  <c r="X870" i="3"/>
  <c r="Y870" i="3"/>
  <c r="Z870" i="3"/>
  <c r="AA870" i="3"/>
  <c r="V871" i="3"/>
  <c r="W871" i="3"/>
  <c r="X871" i="3"/>
  <c r="Y871" i="3"/>
  <c r="Z871" i="3"/>
  <c r="AA871" i="3"/>
  <c r="V872" i="3"/>
  <c r="W872" i="3"/>
  <c r="X872" i="3"/>
  <c r="Y872" i="3"/>
  <c r="Z872" i="3"/>
  <c r="AA872" i="3"/>
  <c r="V873" i="3"/>
  <c r="W873" i="3"/>
  <c r="X873" i="3"/>
  <c r="Y873" i="3"/>
  <c r="Z873" i="3"/>
  <c r="AA873" i="3"/>
  <c r="V874" i="3"/>
  <c r="W874" i="3"/>
  <c r="X874" i="3"/>
  <c r="Y874" i="3"/>
  <c r="Z874" i="3"/>
  <c r="AA874" i="3"/>
  <c r="V875" i="3"/>
  <c r="W875" i="3"/>
  <c r="X875" i="3"/>
  <c r="Y875" i="3"/>
  <c r="Z875" i="3"/>
  <c r="AA875" i="3"/>
  <c r="V876" i="3"/>
  <c r="W876" i="3"/>
  <c r="X876" i="3"/>
  <c r="Y876" i="3"/>
  <c r="Z876" i="3"/>
  <c r="AA876" i="3"/>
  <c r="V877" i="3"/>
  <c r="W877" i="3"/>
  <c r="X877" i="3"/>
  <c r="Y877" i="3"/>
  <c r="Z877" i="3"/>
  <c r="AA877" i="3"/>
  <c r="V878" i="3"/>
  <c r="W878" i="3"/>
  <c r="X878" i="3"/>
  <c r="Y878" i="3"/>
  <c r="Z878" i="3"/>
  <c r="AA878" i="3"/>
  <c r="V879" i="3"/>
  <c r="W879" i="3"/>
  <c r="X879" i="3"/>
  <c r="Y879" i="3"/>
  <c r="Z879" i="3"/>
  <c r="AA879" i="3"/>
  <c r="V880" i="3"/>
  <c r="W880" i="3"/>
  <c r="X880" i="3"/>
  <c r="Y880" i="3"/>
  <c r="Z880" i="3"/>
  <c r="AA880" i="3"/>
  <c r="V881" i="3"/>
  <c r="W881" i="3"/>
  <c r="X881" i="3"/>
  <c r="Y881" i="3"/>
  <c r="Z881" i="3"/>
  <c r="AA881" i="3"/>
  <c r="V882" i="3"/>
  <c r="W882" i="3"/>
  <c r="X882" i="3"/>
  <c r="Y882" i="3"/>
  <c r="Z882" i="3"/>
  <c r="AA882" i="3"/>
  <c r="V883" i="3"/>
  <c r="W883" i="3"/>
  <c r="X883" i="3"/>
  <c r="Y883" i="3"/>
  <c r="Z883" i="3"/>
  <c r="AA883" i="3"/>
  <c r="V884" i="3"/>
  <c r="W884" i="3"/>
  <c r="X884" i="3"/>
  <c r="Y884" i="3"/>
  <c r="Z884" i="3"/>
  <c r="AA884" i="3"/>
  <c r="V885" i="3"/>
  <c r="W885" i="3"/>
  <c r="X885" i="3"/>
  <c r="Y885" i="3"/>
  <c r="Z885" i="3"/>
  <c r="AA885" i="3"/>
  <c r="V886" i="3"/>
  <c r="W886" i="3"/>
  <c r="X886" i="3"/>
  <c r="Y886" i="3"/>
  <c r="Z886" i="3"/>
  <c r="AA886" i="3"/>
  <c r="V887" i="3"/>
  <c r="W887" i="3"/>
  <c r="X887" i="3"/>
  <c r="Y887" i="3"/>
  <c r="Z887" i="3"/>
  <c r="AA887" i="3"/>
  <c r="V888" i="3"/>
  <c r="W888" i="3"/>
  <c r="X888" i="3"/>
  <c r="Y888" i="3"/>
  <c r="Z888" i="3"/>
  <c r="AA888" i="3"/>
  <c r="V889" i="3"/>
  <c r="W889" i="3"/>
  <c r="X889" i="3"/>
  <c r="Y889" i="3"/>
  <c r="Z889" i="3"/>
  <c r="AA889" i="3"/>
  <c r="V890" i="3"/>
  <c r="W890" i="3"/>
  <c r="X890" i="3"/>
  <c r="Y890" i="3"/>
  <c r="Z890" i="3"/>
  <c r="AA890" i="3"/>
  <c r="V891" i="3"/>
  <c r="W891" i="3"/>
  <c r="X891" i="3"/>
  <c r="Y891" i="3"/>
  <c r="Z891" i="3"/>
  <c r="AA891" i="3"/>
  <c r="V892" i="3"/>
  <c r="W892" i="3"/>
  <c r="X892" i="3"/>
  <c r="Y892" i="3"/>
  <c r="Z892" i="3"/>
  <c r="AA892" i="3"/>
  <c r="V893" i="3"/>
  <c r="W893" i="3"/>
  <c r="X893" i="3"/>
  <c r="Y893" i="3"/>
  <c r="Z893" i="3"/>
  <c r="AA893" i="3"/>
  <c r="V894" i="3"/>
  <c r="W894" i="3"/>
  <c r="X894" i="3"/>
  <c r="Y894" i="3"/>
  <c r="Z894" i="3"/>
  <c r="AA894" i="3"/>
  <c r="V895" i="3"/>
  <c r="W895" i="3"/>
  <c r="X895" i="3"/>
  <c r="Y895" i="3"/>
  <c r="Z895" i="3"/>
  <c r="AA895" i="3"/>
  <c r="V896" i="3"/>
  <c r="W896" i="3"/>
  <c r="X896" i="3"/>
  <c r="Y896" i="3"/>
  <c r="Z896" i="3"/>
  <c r="AA896" i="3"/>
  <c r="V897" i="3"/>
  <c r="W897" i="3"/>
  <c r="X897" i="3"/>
  <c r="Y897" i="3"/>
  <c r="Z897" i="3"/>
  <c r="AA897" i="3"/>
  <c r="V898" i="3"/>
  <c r="W898" i="3"/>
  <c r="X898" i="3"/>
  <c r="Y898" i="3"/>
  <c r="Z898" i="3"/>
  <c r="AA898" i="3"/>
  <c r="V899" i="3"/>
  <c r="W899" i="3"/>
  <c r="X899" i="3"/>
  <c r="Y899" i="3"/>
  <c r="Z899" i="3"/>
  <c r="AA899" i="3"/>
  <c r="V900" i="3"/>
  <c r="W900" i="3"/>
  <c r="X900" i="3"/>
  <c r="Y900" i="3"/>
  <c r="Z900" i="3"/>
  <c r="AA900" i="3"/>
  <c r="V901" i="3"/>
  <c r="W901" i="3"/>
  <c r="X901" i="3"/>
  <c r="Y901" i="3"/>
  <c r="Z901" i="3"/>
  <c r="AA901" i="3"/>
  <c r="V902" i="3"/>
  <c r="W902" i="3"/>
  <c r="X902" i="3"/>
  <c r="Y902" i="3"/>
  <c r="Z902" i="3"/>
  <c r="AA902" i="3"/>
  <c r="V903" i="3"/>
  <c r="W903" i="3"/>
  <c r="X903" i="3"/>
  <c r="Y903" i="3"/>
  <c r="Z903" i="3"/>
  <c r="AA903" i="3"/>
  <c r="V904" i="3"/>
  <c r="W904" i="3"/>
  <c r="X904" i="3"/>
  <c r="Y904" i="3"/>
  <c r="Z904" i="3"/>
  <c r="AA904" i="3"/>
  <c r="V905" i="3"/>
  <c r="W905" i="3"/>
  <c r="X905" i="3"/>
  <c r="Y905" i="3"/>
  <c r="Z905" i="3"/>
  <c r="AA905" i="3"/>
  <c r="V906" i="3"/>
  <c r="W906" i="3"/>
  <c r="X906" i="3"/>
  <c r="Y906" i="3"/>
  <c r="Z906" i="3"/>
  <c r="AA906" i="3"/>
  <c r="V907" i="3"/>
  <c r="W907" i="3"/>
  <c r="X907" i="3"/>
  <c r="Y907" i="3"/>
  <c r="Z907" i="3"/>
  <c r="AA907" i="3"/>
  <c r="V908" i="3"/>
  <c r="W908" i="3"/>
  <c r="X908" i="3"/>
  <c r="Y908" i="3"/>
  <c r="Z908" i="3"/>
  <c r="AA908" i="3"/>
  <c r="V909" i="3"/>
  <c r="W909" i="3"/>
  <c r="X909" i="3"/>
  <c r="Y909" i="3"/>
  <c r="Z909" i="3"/>
  <c r="AA909" i="3"/>
  <c r="V910" i="3"/>
  <c r="W910" i="3"/>
  <c r="X910" i="3"/>
  <c r="Y910" i="3"/>
  <c r="Z910" i="3"/>
  <c r="AA910" i="3"/>
  <c r="V911" i="3"/>
  <c r="W911" i="3"/>
  <c r="X911" i="3"/>
  <c r="Y911" i="3"/>
  <c r="Z911" i="3"/>
  <c r="AA911" i="3"/>
  <c r="V912" i="3"/>
  <c r="W912" i="3"/>
  <c r="X912" i="3"/>
  <c r="Y912" i="3"/>
  <c r="Z912" i="3"/>
  <c r="AA912" i="3"/>
  <c r="V913" i="3"/>
  <c r="W913" i="3"/>
  <c r="X913" i="3"/>
  <c r="Y913" i="3"/>
  <c r="Z913" i="3"/>
  <c r="AA913" i="3"/>
  <c r="V914" i="3"/>
  <c r="W914" i="3"/>
  <c r="X914" i="3"/>
  <c r="Y914" i="3"/>
  <c r="Z914" i="3"/>
  <c r="AA914" i="3"/>
  <c r="V915" i="3"/>
  <c r="W915" i="3"/>
  <c r="X915" i="3"/>
  <c r="Y915" i="3"/>
  <c r="Z915" i="3"/>
  <c r="AA915" i="3"/>
  <c r="V916" i="3"/>
  <c r="W916" i="3"/>
  <c r="X916" i="3"/>
  <c r="Y916" i="3"/>
  <c r="Z916" i="3"/>
  <c r="AA916" i="3"/>
  <c r="V917" i="3"/>
  <c r="W917" i="3"/>
  <c r="X917" i="3"/>
  <c r="Y917" i="3"/>
  <c r="Z917" i="3"/>
  <c r="AA917" i="3"/>
  <c r="V918" i="3"/>
  <c r="W918" i="3"/>
  <c r="X918" i="3"/>
  <c r="Y918" i="3"/>
  <c r="Z918" i="3"/>
  <c r="AA918" i="3"/>
  <c r="V919" i="3"/>
  <c r="W919" i="3"/>
  <c r="X919" i="3"/>
  <c r="Y919" i="3"/>
  <c r="Z919" i="3"/>
  <c r="AA919" i="3"/>
  <c r="V920" i="3"/>
  <c r="W920" i="3"/>
  <c r="X920" i="3"/>
  <c r="Y920" i="3"/>
  <c r="Z920" i="3"/>
  <c r="AA920" i="3"/>
  <c r="V921" i="3"/>
  <c r="W921" i="3"/>
  <c r="X921" i="3"/>
  <c r="Y921" i="3"/>
  <c r="Z921" i="3"/>
  <c r="AA921" i="3"/>
  <c r="V922" i="3"/>
  <c r="W922" i="3"/>
  <c r="X922" i="3"/>
  <c r="Y922" i="3"/>
  <c r="Z922" i="3"/>
  <c r="AA922" i="3"/>
  <c r="V923" i="3"/>
  <c r="W923" i="3"/>
  <c r="X923" i="3"/>
  <c r="Y923" i="3"/>
  <c r="Z923" i="3"/>
  <c r="AA923" i="3"/>
  <c r="V924" i="3"/>
  <c r="W924" i="3"/>
  <c r="X924" i="3"/>
  <c r="Y924" i="3"/>
  <c r="Z924" i="3"/>
  <c r="AA924" i="3"/>
  <c r="V925" i="3"/>
  <c r="W925" i="3"/>
  <c r="X925" i="3"/>
  <c r="Y925" i="3"/>
  <c r="Z925" i="3"/>
  <c r="AA925" i="3"/>
  <c r="V926" i="3"/>
  <c r="W926" i="3"/>
  <c r="X926" i="3"/>
  <c r="Y926" i="3"/>
  <c r="Z926" i="3"/>
  <c r="AA926" i="3"/>
  <c r="V927" i="3"/>
  <c r="W927" i="3"/>
  <c r="X927" i="3"/>
  <c r="Y927" i="3"/>
  <c r="Z927" i="3"/>
  <c r="AA927" i="3"/>
  <c r="V928" i="3"/>
  <c r="W928" i="3"/>
  <c r="X928" i="3"/>
  <c r="Y928" i="3"/>
  <c r="Z928" i="3"/>
  <c r="AA928" i="3"/>
  <c r="V929" i="3"/>
  <c r="W929" i="3"/>
  <c r="X929" i="3"/>
  <c r="Y929" i="3"/>
  <c r="Z929" i="3"/>
  <c r="AA929" i="3"/>
  <c r="V930" i="3"/>
  <c r="W930" i="3"/>
  <c r="X930" i="3"/>
  <c r="Y930" i="3"/>
  <c r="Z930" i="3"/>
  <c r="AA930" i="3"/>
  <c r="V931" i="3"/>
  <c r="W931" i="3"/>
  <c r="X931" i="3"/>
  <c r="Y931" i="3"/>
  <c r="Z931" i="3"/>
  <c r="AA931" i="3"/>
  <c r="V932" i="3"/>
  <c r="W932" i="3"/>
  <c r="X932" i="3"/>
  <c r="Y932" i="3"/>
  <c r="Z932" i="3"/>
  <c r="AA932" i="3"/>
  <c r="V933" i="3"/>
  <c r="W933" i="3"/>
  <c r="X933" i="3"/>
  <c r="Y933" i="3"/>
  <c r="Z933" i="3"/>
  <c r="AA933" i="3"/>
  <c r="V934" i="3"/>
  <c r="W934" i="3"/>
  <c r="X934" i="3"/>
  <c r="Y934" i="3"/>
  <c r="Z934" i="3"/>
  <c r="AA934" i="3"/>
  <c r="V935" i="3"/>
  <c r="W935" i="3"/>
  <c r="X935" i="3"/>
  <c r="Y935" i="3"/>
  <c r="Z935" i="3"/>
  <c r="AA935" i="3"/>
  <c r="V936" i="3"/>
  <c r="W936" i="3"/>
  <c r="X936" i="3"/>
  <c r="Y936" i="3"/>
  <c r="Z936" i="3"/>
  <c r="AA936" i="3"/>
  <c r="V937" i="3"/>
  <c r="W937" i="3"/>
  <c r="X937" i="3"/>
  <c r="Y937" i="3"/>
  <c r="Z937" i="3"/>
  <c r="AA937" i="3"/>
  <c r="V938" i="3"/>
  <c r="W938" i="3"/>
  <c r="X938" i="3"/>
  <c r="Y938" i="3"/>
  <c r="Z938" i="3"/>
  <c r="AA938" i="3"/>
  <c r="V939" i="3"/>
  <c r="W939" i="3"/>
  <c r="X939" i="3"/>
  <c r="Y939" i="3"/>
  <c r="Z939" i="3"/>
  <c r="AA939" i="3"/>
  <c r="V940" i="3"/>
  <c r="W940" i="3"/>
  <c r="X940" i="3"/>
  <c r="Y940" i="3"/>
  <c r="Z940" i="3"/>
  <c r="AA940" i="3"/>
  <c r="V941" i="3"/>
  <c r="W941" i="3"/>
  <c r="X941" i="3"/>
  <c r="Y941" i="3"/>
  <c r="Z941" i="3"/>
  <c r="AA941" i="3"/>
  <c r="V942" i="3"/>
  <c r="W942" i="3"/>
  <c r="X942" i="3"/>
  <c r="Y942" i="3"/>
  <c r="Z942" i="3"/>
  <c r="AA942" i="3"/>
  <c r="V943" i="3"/>
  <c r="W943" i="3"/>
  <c r="X943" i="3"/>
  <c r="Y943" i="3"/>
  <c r="Z943" i="3"/>
  <c r="AA943" i="3"/>
  <c r="V944" i="3"/>
  <c r="W944" i="3"/>
  <c r="X944" i="3"/>
  <c r="Y944" i="3"/>
  <c r="Z944" i="3"/>
  <c r="AA944" i="3"/>
  <c r="V945" i="3"/>
  <c r="W945" i="3"/>
  <c r="X945" i="3"/>
  <c r="Y945" i="3"/>
  <c r="Z945" i="3"/>
  <c r="AA945" i="3"/>
  <c r="V946" i="3"/>
  <c r="W946" i="3"/>
  <c r="X946" i="3"/>
  <c r="Y946" i="3"/>
  <c r="Z946" i="3"/>
  <c r="AA946" i="3"/>
  <c r="V947" i="3"/>
  <c r="W947" i="3"/>
  <c r="X947" i="3"/>
  <c r="Y947" i="3"/>
  <c r="Z947" i="3"/>
  <c r="AA947" i="3"/>
  <c r="V948" i="3"/>
  <c r="W948" i="3"/>
  <c r="X948" i="3"/>
  <c r="Y948" i="3"/>
  <c r="Z948" i="3"/>
  <c r="AA948" i="3"/>
  <c r="V949" i="3"/>
  <c r="W949" i="3"/>
  <c r="X949" i="3"/>
  <c r="Y949" i="3"/>
  <c r="Z949" i="3"/>
  <c r="AA949" i="3"/>
  <c r="V950" i="3"/>
  <c r="W950" i="3"/>
  <c r="X950" i="3"/>
  <c r="Y950" i="3"/>
  <c r="Z950" i="3"/>
  <c r="AA950" i="3"/>
  <c r="V951" i="3"/>
  <c r="W951" i="3"/>
  <c r="X951" i="3"/>
  <c r="Y951" i="3"/>
  <c r="Z951" i="3"/>
  <c r="AA951" i="3"/>
  <c r="V952" i="3"/>
  <c r="W952" i="3"/>
  <c r="X952" i="3"/>
  <c r="Y952" i="3"/>
  <c r="Z952" i="3"/>
  <c r="AA952" i="3"/>
  <c r="V953" i="3"/>
  <c r="W953" i="3"/>
  <c r="X953" i="3"/>
  <c r="Y953" i="3"/>
  <c r="Z953" i="3"/>
  <c r="AA953" i="3"/>
  <c r="V954" i="3"/>
  <c r="W954" i="3"/>
  <c r="X954" i="3"/>
  <c r="Y954" i="3"/>
  <c r="Z954" i="3"/>
  <c r="AA954" i="3"/>
  <c r="V955" i="3"/>
  <c r="W955" i="3"/>
  <c r="X955" i="3"/>
  <c r="Y955" i="3"/>
  <c r="Z955" i="3"/>
  <c r="AA955" i="3"/>
  <c r="V956" i="3"/>
  <c r="W956" i="3"/>
  <c r="X956" i="3"/>
  <c r="Y956" i="3"/>
  <c r="Z956" i="3"/>
  <c r="AA956" i="3"/>
  <c r="V957" i="3"/>
  <c r="W957" i="3"/>
  <c r="X957" i="3"/>
  <c r="Y957" i="3"/>
  <c r="Z957" i="3"/>
  <c r="AA957" i="3"/>
  <c r="V958" i="3"/>
  <c r="W958" i="3"/>
  <c r="X958" i="3"/>
  <c r="Y958" i="3"/>
  <c r="Z958" i="3"/>
  <c r="AA958" i="3"/>
  <c r="V959" i="3"/>
  <c r="W959" i="3"/>
  <c r="X959" i="3"/>
  <c r="Y959" i="3"/>
  <c r="Z959" i="3"/>
  <c r="AA959" i="3"/>
  <c r="V960" i="3"/>
  <c r="W960" i="3"/>
  <c r="X960" i="3"/>
  <c r="Y960" i="3"/>
  <c r="Z960" i="3"/>
  <c r="AA960" i="3"/>
  <c r="V961" i="3"/>
  <c r="W961" i="3"/>
  <c r="X961" i="3"/>
  <c r="Y961" i="3"/>
  <c r="Z961" i="3"/>
  <c r="AA961" i="3"/>
  <c r="V962" i="3"/>
  <c r="W962" i="3"/>
  <c r="X962" i="3"/>
  <c r="Y962" i="3"/>
  <c r="Z962" i="3"/>
  <c r="AA962" i="3"/>
  <c r="V963" i="3"/>
  <c r="W963" i="3"/>
  <c r="X963" i="3"/>
  <c r="Y963" i="3"/>
  <c r="Z963" i="3"/>
  <c r="AA963" i="3"/>
  <c r="V964" i="3"/>
  <c r="W964" i="3"/>
  <c r="X964" i="3"/>
  <c r="Y964" i="3"/>
  <c r="Z964" i="3"/>
  <c r="AA964" i="3"/>
  <c r="V965" i="3"/>
  <c r="W965" i="3"/>
  <c r="X965" i="3"/>
  <c r="Y965" i="3"/>
  <c r="Z965" i="3"/>
  <c r="AA965" i="3"/>
  <c r="V966" i="3"/>
  <c r="W966" i="3"/>
  <c r="X966" i="3"/>
  <c r="Y966" i="3"/>
  <c r="Z966" i="3"/>
  <c r="AA966" i="3"/>
  <c r="V967" i="3"/>
  <c r="W967" i="3"/>
  <c r="X967" i="3"/>
  <c r="Y967" i="3"/>
  <c r="Z967" i="3"/>
  <c r="AA967" i="3"/>
  <c r="V968" i="3"/>
  <c r="W968" i="3"/>
  <c r="X968" i="3"/>
  <c r="Y968" i="3"/>
  <c r="Z968" i="3"/>
  <c r="AA968" i="3"/>
  <c r="V969" i="3"/>
  <c r="W969" i="3"/>
  <c r="X969" i="3"/>
  <c r="Y969" i="3"/>
  <c r="Z969" i="3"/>
  <c r="AA969" i="3"/>
  <c r="V970" i="3"/>
  <c r="W970" i="3"/>
  <c r="X970" i="3"/>
  <c r="Y970" i="3"/>
  <c r="Z970" i="3"/>
  <c r="AA970" i="3"/>
  <c r="V971" i="3"/>
  <c r="W971" i="3"/>
  <c r="X971" i="3"/>
  <c r="Y971" i="3"/>
  <c r="Z971" i="3"/>
  <c r="AA971" i="3"/>
  <c r="V972" i="3"/>
  <c r="W972" i="3"/>
  <c r="X972" i="3"/>
  <c r="Y972" i="3"/>
  <c r="Z972" i="3"/>
  <c r="AA972" i="3"/>
  <c r="V973" i="3"/>
  <c r="W973" i="3"/>
  <c r="X973" i="3"/>
  <c r="Y973" i="3"/>
  <c r="Z973" i="3"/>
  <c r="AA973" i="3"/>
  <c r="V974" i="3"/>
  <c r="W974" i="3"/>
  <c r="X974" i="3"/>
  <c r="Y974" i="3"/>
  <c r="Z974" i="3"/>
  <c r="AA974" i="3"/>
  <c r="V975" i="3"/>
  <c r="W975" i="3"/>
  <c r="X975" i="3"/>
  <c r="Y975" i="3"/>
  <c r="Z975" i="3"/>
  <c r="AA975" i="3"/>
  <c r="V976" i="3"/>
  <c r="W976" i="3"/>
  <c r="X976" i="3"/>
  <c r="Y976" i="3"/>
  <c r="Z976" i="3"/>
  <c r="AA976" i="3"/>
  <c r="V977" i="3"/>
  <c r="W977" i="3"/>
  <c r="X977" i="3"/>
  <c r="Y977" i="3"/>
  <c r="Z977" i="3"/>
  <c r="AA977" i="3"/>
  <c r="V978" i="3"/>
  <c r="W978" i="3"/>
  <c r="X978" i="3"/>
  <c r="Y978" i="3"/>
  <c r="Z978" i="3"/>
  <c r="AA978" i="3"/>
  <c r="V979" i="3"/>
  <c r="W979" i="3"/>
  <c r="X979" i="3"/>
  <c r="Y979" i="3"/>
  <c r="Z979" i="3"/>
  <c r="AA979" i="3"/>
  <c r="V980" i="3"/>
  <c r="W980" i="3"/>
  <c r="X980" i="3"/>
  <c r="Y980" i="3"/>
  <c r="Z980" i="3"/>
  <c r="AA980" i="3"/>
  <c r="V981" i="3"/>
  <c r="W981" i="3"/>
  <c r="X981" i="3"/>
  <c r="Y981" i="3"/>
  <c r="Z981" i="3"/>
  <c r="AA981" i="3"/>
  <c r="V982" i="3"/>
  <c r="W982" i="3"/>
  <c r="X982" i="3"/>
  <c r="Y982" i="3"/>
  <c r="Z982" i="3"/>
  <c r="AA982" i="3"/>
  <c r="V983" i="3"/>
  <c r="W983" i="3"/>
  <c r="X983" i="3"/>
  <c r="Y983" i="3"/>
  <c r="Z983" i="3"/>
  <c r="AA983" i="3"/>
  <c r="V984" i="3"/>
  <c r="W984" i="3"/>
  <c r="X984" i="3"/>
  <c r="Y984" i="3"/>
  <c r="Z984" i="3"/>
  <c r="AA984" i="3"/>
  <c r="V985" i="3"/>
  <c r="W985" i="3"/>
  <c r="X985" i="3"/>
  <c r="Y985" i="3"/>
  <c r="Z985" i="3"/>
  <c r="AA985" i="3"/>
  <c r="V986" i="3"/>
  <c r="W986" i="3"/>
  <c r="X986" i="3"/>
  <c r="Y986" i="3"/>
  <c r="Z986" i="3"/>
  <c r="AA986" i="3"/>
  <c r="V987" i="3"/>
  <c r="W987" i="3"/>
  <c r="X987" i="3"/>
  <c r="Y987" i="3"/>
  <c r="Z987" i="3"/>
  <c r="AA987" i="3"/>
  <c r="V988" i="3"/>
  <c r="W988" i="3"/>
  <c r="X988" i="3"/>
  <c r="Y988" i="3"/>
  <c r="Z988" i="3"/>
  <c r="AA988" i="3"/>
  <c r="V989" i="3"/>
  <c r="W989" i="3"/>
  <c r="X989" i="3"/>
  <c r="Y989" i="3"/>
  <c r="Z989" i="3"/>
  <c r="AA989" i="3"/>
  <c r="V990" i="3"/>
  <c r="W990" i="3"/>
  <c r="X990" i="3"/>
  <c r="Y990" i="3"/>
  <c r="Z990" i="3"/>
  <c r="AA990" i="3"/>
  <c r="V991" i="3"/>
  <c r="W991" i="3"/>
  <c r="X991" i="3"/>
  <c r="Y991" i="3"/>
  <c r="Z991" i="3"/>
  <c r="AA991" i="3"/>
  <c r="V992" i="3"/>
  <c r="W992" i="3"/>
  <c r="X992" i="3"/>
  <c r="Y992" i="3"/>
  <c r="Z992" i="3"/>
  <c r="AA992" i="3"/>
  <c r="V993" i="3"/>
  <c r="W993" i="3"/>
  <c r="X993" i="3"/>
  <c r="Y993" i="3"/>
  <c r="Z993" i="3"/>
  <c r="AA993" i="3"/>
  <c r="V994" i="3"/>
  <c r="W994" i="3"/>
  <c r="X994" i="3"/>
  <c r="Y994" i="3"/>
  <c r="Z994" i="3"/>
  <c r="AA994" i="3"/>
  <c r="V995" i="3"/>
  <c r="W995" i="3"/>
  <c r="X995" i="3"/>
  <c r="Y995" i="3"/>
  <c r="Z995" i="3"/>
  <c r="AA995" i="3"/>
  <c r="V996" i="3"/>
  <c r="W996" i="3"/>
  <c r="X996" i="3"/>
  <c r="Y996" i="3"/>
  <c r="Z996" i="3"/>
  <c r="AA996" i="3"/>
  <c r="V997" i="3"/>
  <c r="W997" i="3"/>
  <c r="X997" i="3"/>
  <c r="Y997" i="3"/>
  <c r="Z997" i="3"/>
  <c r="AA997" i="3"/>
  <c r="V998" i="3"/>
  <c r="W998" i="3"/>
  <c r="X998" i="3"/>
  <c r="Y998" i="3"/>
  <c r="Z998" i="3"/>
  <c r="AA998" i="3"/>
  <c r="V999" i="3"/>
  <c r="W999" i="3"/>
  <c r="X999" i="3"/>
  <c r="Y999" i="3"/>
  <c r="Z999" i="3"/>
  <c r="AA999" i="3"/>
  <c r="V1000" i="3"/>
  <c r="W1000" i="3"/>
  <c r="X1000" i="3"/>
  <c r="Y1000" i="3"/>
  <c r="Z1000" i="3"/>
  <c r="AA1000" i="3"/>
  <c r="V1001" i="3"/>
  <c r="W1001" i="3"/>
  <c r="X1001" i="3"/>
  <c r="Y1001" i="3"/>
  <c r="Z1001" i="3"/>
  <c r="AA1001" i="3"/>
  <c r="V1002" i="3"/>
  <c r="W1002" i="3"/>
  <c r="X1002" i="3"/>
  <c r="Y1002" i="3"/>
  <c r="Z1002" i="3"/>
  <c r="AA1002" i="3"/>
  <c r="V1003" i="3"/>
  <c r="W1003" i="3"/>
  <c r="X1003" i="3"/>
  <c r="Y1003" i="3"/>
  <c r="Z1003" i="3"/>
  <c r="AA1003" i="3"/>
  <c r="V1004" i="3"/>
  <c r="W1004" i="3"/>
  <c r="X1004" i="3"/>
  <c r="Y1004" i="3"/>
  <c r="Z1004" i="3"/>
  <c r="AA1004" i="3"/>
  <c r="V1005" i="3"/>
  <c r="W1005" i="3"/>
  <c r="X1005" i="3"/>
  <c r="Y1005" i="3"/>
  <c r="Z1005" i="3"/>
  <c r="AA1005" i="3"/>
  <c r="V1006" i="3"/>
  <c r="W1006" i="3"/>
  <c r="X1006" i="3"/>
  <c r="Y1006" i="3"/>
  <c r="Z1006" i="3"/>
  <c r="AA1006" i="3"/>
  <c r="V1007" i="3"/>
  <c r="W1007" i="3"/>
  <c r="X1007" i="3"/>
  <c r="Y1007" i="3"/>
  <c r="Z1007" i="3"/>
  <c r="AA1007" i="3"/>
  <c r="V1008" i="3"/>
  <c r="W1008" i="3"/>
  <c r="X1008" i="3"/>
  <c r="Y1008" i="3"/>
  <c r="Z1008" i="3"/>
  <c r="AA1008" i="3"/>
  <c r="V1009" i="3"/>
  <c r="W1009" i="3"/>
  <c r="X1009" i="3"/>
  <c r="Y1009" i="3"/>
  <c r="Z1009" i="3"/>
  <c r="AA1009" i="3"/>
  <c r="V1010" i="3"/>
  <c r="W1010" i="3"/>
  <c r="X1010" i="3"/>
  <c r="Y1010" i="3"/>
  <c r="Z1010" i="3"/>
  <c r="AA1010" i="3"/>
  <c r="V1011" i="3"/>
  <c r="W1011" i="3"/>
  <c r="X1011" i="3"/>
  <c r="Y1011" i="3"/>
  <c r="Z1011" i="3"/>
  <c r="AA1011" i="3"/>
  <c r="V1012" i="3"/>
  <c r="W1012" i="3"/>
  <c r="X1012" i="3"/>
  <c r="Y1012" i="3"/>
  <c r="Z1012" i="3"/>
  <c r="AA1012" i="3"/>
  <c r="V1013" i="3"/>
  <c r="W1013" i="3"/>
  <c r="X1013" i="3"/>
  <c r="Y1013" i="3"/>
  <c r="Z1013" i="3"/>
  <c r="AA1013" i="3"/>
  <c r="V1014" i="3"/>
  <c r="W1014" i="3"/>
  <c r="X1014" i="3"/>
  <c r="Y1014" i="3"/>
  <c r="Z1014" i="3"/>
  <c r="AA1014" i="3"/>
  <c r="V1015" i="3"/>
  <c r="W1015" i="3"/>
  <c r="X1015" i="3"/>
  <c r="Y1015" i="3"/>
  <c r="Z1015" i="3"/>
  <c r="AA1015" i="3"/>
  <c r="V1016" i="3"/>
  <c r="W1016" i="3"/>
  <c r="X1016" i="3"/>
  <c r="Y1016" i="3"/>
  <c r="Z1016" i="3"/>
  <c r="AA1016" i="3"/>
  <c r="V1017" i="3"/>
  <c r="W1017" i="3"/>
  <c r="X1017" i="3"/>
  <c r="Y1017" i="3"/>
  <c r="Z1017" i="3"/>
  <c r="AA1017" i="3"/>
  <c r="V1018" i="3"/>
  <c r="W1018" i="3"/>
  <c r="X1018" i="3"/>
  <c r="Y1018" i="3"/>
  <c r="Z1018" i="3"/>
  <c r="AA1018" i="3"/>
  <c r="V1019" i="3"/>
  <c r="W1019" i="3"/>
  <c r="X1019" i="3"/>
  <c r="Y1019" i="3"/>
  <c r="Z1019" i="3"/>
  <c r="AA1019" i="3"/>
  <c r="V1020" i="3"/>
  <c r="W1020" i="3"/>
  <c r="X1020" i="3"/>
  <c r="Y1020" i="3"/>
  <c r="Z1020" i="3"/>
  <c r="AA1020" i="3"/>
  <c r="V1021" i="3"/>
  <c r="W1021" i="3"/>
  <c r="X1021" i="3"/>
  <c r="Y1021" i="3"/>
  <c r="Z1021" i="3"/>
  <c r="AA1021" i="3"/>
  <c r="V1022" i="3"/>
  <c r="W1022" i="3"/>
  <c r="X1022" i="3"/>
  <c r="Y1022" i="3"/>
  <c r="Z1022" i="3"/>
  <c r="AA1022" i="3"/>
  <c r="V1023" i="3"/>
  <c r="W1023" i="3"/>
  <c r="X1023" i="3"/>
  <c r="Y1023" i="3"/>
  <c r="Z1023" i="3"/>
  <c r="AA1023" i="3"/>
  <c r="V1024" i="3"/>
  <c r="W1024" i="3"/>
  <c r="X1024" i="3"/>
  <c r="Y1024" i="3"/>
  <c r="Z1024" i="3"/>
  <c r="AA1024" i="3"/>
  <c r="V1025" i="3"/>
  <c r="W1025" i="3"/>
  <c r="X1025" i="3"/>
  <c r="Y1025" i="3"/>
  <c r="Z1025" i="3"/>
  <c r="AA1025" i="3"/>
  <c r="V1026" i="3"/>
  <c r="W1026" i="3"/>
  <c r="X1026" i="3"/>
  <c r="Y1026" i="3"/>
  <c r="Z1026" i="3"/>
  <c r="AA1026" i="3"/>
  <c r="V1027" i="3"/>
  <c r="W1027" i="3"/>
  <c r="X1027" i="3"/>
  <c r="Y1027" i="3"/>
  <c r="Z1027" i="3"/>
  <c r="AA1027" i="3"/>
  <c r="V1028" i="3"/>
  <c r="W1028" i="3"/>
  <c r="X1028" i="3"/>
  <c r="Y1028" i="3"/>
  <c r="Z1028" i="3"/>
  <c r="AA1028" i="3"/>
  <c r="V1029" i="3"/>
  <c r="W1029" i="3"/>
  <c r="X1029" i="3"/>
  <c r="Y1029" i="3"/>
  <c r="Z1029" i="3"/>
  <c r="AA1029" i="3"/>
  <c r="V1030" i="3"/>
  <c r="W1030" i="3"/>
  <c r="X1030" i="3"/>
  <c r="Y1030" i="3"/>
  <c r="Z1030" i="3"/>
  <c r="AA1030" i="3"/>
  <c r="V1031" i="3"/>
  <c r="W1031" i="3"/>
  <c r="X1031" i="3"/>
  <c r="Y1031" i="3"/>
  <c r="Z1031" i="3"/>
  <c r="AA1031" i="3"/>
  <c r="V1032" i="3"/>
  <c r="W1032" i="3"/>
  <c r="X1032" i="3"/>
  <c r="Y1032" i="3"/>
  <c r="Z1032" i="3"/>
  <c r="AA1032" i="3"/>
  <c r="V1033" i="3"/>
  <c r="W1033" i="3"/>
  <c r="X1033" i="3"/>
  <c r="Y1033" i="3"/>
  <c r="Z1033" i="3"/>
  <c r="AA1033" i="3"/>
  <c r="V1034" i="3"/>
  <c r="W1034" i="3"/>
  <c r="X1034" i="3"/>
  <c r="Y1034" i="3"/>
  <c r="Z1034" i="3"/>
  <c r="AA1034" i="3"/>
  <c r="V1035" i="3"/>
  <c r="W1035" i="3"/>
  <c r="X1035" i="3"/>
  <c r="Y1035" i="3"/>
  <c r="Z1035" i="3"/>
  <c r="AA1035" i="3"/>
  <c r="V1036" i="3"/>
  <c r="W1036" i="3"/>
  <c r="X1036" i="3"/>
  <c r="Y1036" i="3"/>
  <c r="Z1036" i="3"/>
  <c r="AA1036" i="3"/>
  <c r="V1037" i="3"/>
  <c r="W1037" i="3"/>
  <c r="X1037" i="3"/>
  <c r="Y1037" i="3"/>
  <c r="Z1037" i="3"/>
  <c r="AA1037" i="3"/>
  <c r="V1038" i="3"/>
  <c r="W1038" i="3"/>
  <c r="X1038" i="3"/>
  <c r="Y1038" i="3"/>
  <c r="Z1038" i="3"/>
  <c r="AA1038" i="3"/>
  <c r="V1039" i="3"/>
  <c r="W1039" i="3"/>
  <c r="X1039" i="3"/>
  <c r="Y1039" i="3"/>
  <c r="Z1039" i="3"/>
  <c r="AA1039" i="3"/>
  <c r="V1040" i="3"/>
  <c r="W1040" i="3"/>
  <c r="X1040" i="3"/>
  <c r="Y1040" i="3"/>
  <c r="Z1040" i="3"/>
  <c r="AA1040" i="3"/>
  <c r="V1041" i="3"/>
  <c r="W1041" i="3"/>
  <c r="X1041" i="3"/>
  <c r="Y1041" i="3"/>
  <c r="Z1041" i="3"/>
  <c r="AA1041" i="3"/>
  <c r="V1042" i="3"/>
  <c r="W1042" i="3"/>
  <c r="X1042" i="3"/>
  <c r="Y1042" i="3"/>
  <c r="Z1042" i="3"/>
  <c r="AA1042" i="3"/>
  <c r="V1043" i="3"/>
  <c r="W1043" i="3"/>
  <c r="X1043" i="3"/>
  <c r="Y1043" i="3"/>
  <c r="Z1043" i="3"/>
  <c r="AA1043" i="3"/>
  <c r="V1044" i="3"/>
  <c r="W1044" i="3"/>
  <c r="X1044" i="3"/>
  <c r="Y1044" i="3"/>
  <c r="Z1044" i="3"/>
  <c r="AA1044" i="3"/>
  <c r="V1045" i="3"/>
  <c r="W1045" i="3"/>
  <c r="X1045" i="3"/>
  <c r="Y1045" i="3"/>
  <c r="Z1045" i="3"/>
  <c r="AA1045" i="3"/>
  <c r="V1046" i="3"/>
  <c r="W1046" i="3"/>
  <c r="X1046" i="3"/>
  <c r="Y1046" i="3"/>
  <c r="Z1046" i="3"/>
  <c r="AA1046" i="3"/>
  <c r="V1047" i="3"/>
  <c r="W1047" i="3"/>
  <c r="X1047" i="3"/>
  <c r="Y1047" i="3"/>
  <c r="Z1047" i="3"/>
  <c r="AA1047" i="3"/>
  <c r="V1048" i="3"/>
  <c r="W1048" i="3"/>
  <c r="X1048" i="3"/>
  <c r="Y1048" i="3"/>
  <c r="Z1048" i="3"/>
  <c r="AA1048" i="3"/>
  <c r="V1049" i="3"/>
  <c r="W1049" i="3"/>
  <c r="X1049" i="3"/>
  <c r="Y1049" i="3"/>
  <c r="Z1049" i="3"/>
  <c r="AA1049" i="3"/>
  <c r="V1050" i="3"/>
  <c r="W1050" i="3"/>
  <c r="X1050" i="3"/>
  <c r="Y1050" i="3"/>
  <c r="Z1050" i="3"/>
  <c r="AA1050" i="3"/>
  <c r="V1051" i="3"/>
  <c r="W1051" i="3"/>
  <c r="X1051" i="3"/>
  <c r="Y1051" i="3"/>
  <c r="Z1051" i="3"/>
  <c r="AA1051" i="3"/>
  <c r="V1052" i="3"/>
  <c r="W1052" i="3"/>
  <c r="X1052" i="3"/>
  <c r="Y1052" i="3"/>
  <c r="Z1052" i="3"/>
  <c r="AA1052" i="3"/>
  <c r="V1053" i="3"/>
  <c r="W1053" i="3"/>
  <c r="X1053" i="3"/>
  <c r="Y1053" i="3"/>
  <c r="Z1053" i="3"/>
  <c r="AA1053" i="3"/>
  <c r="V1054" i="3"/>
  <c r="W1054" i="3"/>
  <c r="X1054" i="3"/>
  <c r="Y1054" i="3"/>
  <c r="Z1054" i="3"/>
  <c r="AA1054" i="3"/>
  <c r="V1055" i="3"/>
  <c r="W1055" i="3"/>
  <c r="X1055" i="3"/>
  <c r="Y1055" i="3"/>
  <c r="Z1055" i="3"/>
  <c r="AA1055" i="3"/>
  <c r="V1056" i="3"/>
  <c r="W1056" i="3"/>
  <c r="X1056" i="3"/>
  <c r="Y1056" i="3"/>
  <c r="Z1056" i="3"/>
  <c r="AA1056" i="3"/>
  <c r="V1057" i="3"/>
  <c r="W1057" i="3"/>
  <c r="X1057" i="3"/>
  <c r="Y1057" i="3"/>
  <c r="Z1057" i="3"/>
  <c r="AA1057" i="3"/>
  <c r="V1058" i="3"/>
  <c r="W1058" i="3"/>
  <c r="X1058" i="3"/>
  <c r="Y1058" i="3"/>
  <c r="Z1058" i="3"/>
  <c r="AA1058" i="3"/>
  <c r="V1059" i="3"/>
  <c r="W1059" i="3"/>
  <c r="X1059" i="3"/>
  <c r="Y1059" i="3"/>
  <c r="Z1059" i="3"/>
  <c r="AA1059" i="3"/>
  <c r="V1060" i="3"/>
  <c r="W1060" i="3"/>
  <c r="X1060" i="3"/>
  <c r="Y1060" i="3"/>
  <c r="Z1060" i="3"/>
  <c r="AA1060" i="3"/>
  <c r="V1061" i="3"/>
  <c r="W1061" i="3"/>
  <c r="X1061" i="3"/>
  <c r="Y1061" i="3"/>
  <c r="Z1061" i="3"/>
  <c r="AA1061" i="3"/>
  <c r="V1062" i="3"/>
  <c r="W1062" i="3"/>
  <c r="X1062" i="3"/>
  <c r="Y1062" i="3"/>
  <c r="Z1062" i="3"/>
  <c r="AA1062" i="3"/>
  <c r="V1063" i="3"/>
  <c r="W1063" i="3"/>
  <c r="X1063" i="3"/>
  <c r="Y1063" i="3"/>
  <c r="Z1063" i="3"/>
  <c r="AA1063" i="3"/>
  <c r="V1064" i="3"/>
  <c r="W1064" i="3"/>
  <c r="X1064" i="3"/>
  <c r="Y1064" i="3"/>
  <c r="Z1064" i="3"/>
  <c r="AA1064" i="3"/>
  <c r="V1065" i="3"/>
  <c r="W1065" i="3"/>
  <c r="X1065" i="3"/>
  <c r="Y1065" i="3"/>
  <c r="Z1065" i="3"/>
  <c r="AA1065" i="3"/>
  <c r="V1066" i="3"/>
  <c r="W1066" i="3"/>
  <c r="X1066" i="3"/>
  <c r="Y1066" i="3"/>
  <c r="Z1066" i="3"/>
  <c r="AA1066" i="3"/>
  <c r="V1067" i="3"/>
  <c r="W1067" i="3"/>
  <c r="X1067" i="3"/>
  <c r="Y1067" i="3"/>
  <c r="Z1067" i="3"/>
  <c r="AA1067" i="3"/>
  <c r="V1068" i="3"/>
  <c r="W1068" i="3"/>
  <c r="X1068" i="3"/>
  <c r="Y1068" i="3"/>
  <c r="Z1068" i="3"/>
  <c r="AA1068" i="3"/>
  <c r="V1069" i="3"/>
  <c r="W1069" i="3"/>
  <c r="X1069" i="3"/>
  <c r="Y1069" i="3"/>
  <c r="Z1069" i="3"/>
  <c r="AA1069" i="3"/>
  <c r="V1070" i="3"/>
  <c r="W1070" i="3"/>
  <c r="X1070" i="3"/>
  <c r="Y1070" i="3"/>
  <c r="Z1070" i="3"/>
  <c r="AA1070" i="3"/>
  <c r="V1071" i="3"/>
  <c r="W1071" i="3"/>
  <c r="X1071" i="3"/>
  <c r="Y1071" i="3"/>
  <c r="Z1071" i="3"/>
  <c r="AA1071" i="3"/>
  <c r="V1072" i="3"/>
  <c r="W1072" i="3"/>
  <c r="X1072" i="3"/>
  <c r="Y1072" i="3"/>
  <c r="Z1072" i="3"/>
  <c r="AA1072" i="3"/>
  <c r="V1073" i="3"/>
  <c r="W1073" i="3"/>
  <c r="X1073" i="3"/>
  <c r="Y1073" i="3"/>
  <c r="Z1073" i="3"/>
  <c r="AA1073" i="3"/>
  <c r="V1074" i="3"/>
  <c r="W1074" i="3"/>
  <c r="X1074" i="3"/>
  <c r="Y1074" i="3"/>
  <c r="Z1074" i="3"/>
  <c r="AA1074" i="3"/>
  <c r="V1075" i="3"/>
  <c r="W1075" i="3"/>
  <c r="X1075" i="3"/>
  <c r="Y1075" i="3"/>
  <c r="Z1075" i="3"/>
  <c r="AA1075" i="3"/>
  <c r="V1076" i="3"/>
  <c r="W1076" i="3"/>
  <c r="X1076" i="3"/>
  <c r="Y1076" i="3"/>
  <c r="Z1076" i="3"/>
  <c r="AA1076" i="3"/>
  <c r="V1077" i="3"/>
  <c r="W1077" i="3"/>
  <c r="X1077" i="3"/>
  <c r="Y1077" i="3"/>
  <c r="Z1077" i="3"/>
  <c r="AA1077" i="3"/>
  <c r="V1078" i="3"/>
  <c r="W1078" i="3"/>
  <c r="X1078" i="3"/>
  <c r="Y1078" i="3"/>
  <c r="Z1078" i="3"/>
  <c r="AA1078" i="3"/>
  <c r="V1079" i="3"/>
  <c r="W1079" i="3"/>
  <c r="X1079" i="3"/>
  <c r="Y1079" i="3"/>
  <c r="Z1079" i="3"/>
  <c r="AA1079" i="3"/>
  <c r="V1080" i="3"/>
  <c r="W1080" i="3"/>
  <c r="X1080" i="3"/>
  <c r="Y1080" i="3"/>
  <c r="Z1080" i="3"/>
  <c r="AA1080" i="3"/>
  <c r="V1081" i="3"/>
  <c r="W1081" i="3"/>
  <c r="X1081" i="3"/>
  <c r="Y1081" i="3"/>
  <c r="Z1081" i="3"/>
  <c r="AA1081" i="3"/>
  <c r="V1082" i="3"/>
  <c r="W1082" i="3"/>
  <c r="X1082" i="3"/>
  <c r="Y1082" i="3"/>
  <c r="Z1082" i="3"/>
  <c r="AA1082" i="3"/>
  <c r="V1083" i="3"/>
  <c r="W1083" i="3"/>
  <c r="X1083" i="3"/>
  <c r="Y1083" i="3"/>
  <c r="Z1083" i="3"/>
  <c r="AA1083" i="3"/>
  <c r="V1084" i="3"/>
  <c r="W1084" i="3"/>
  <c r="X1084" i="3"/>
  <c r="Y1084" i="3"/>
  <c r="Z1084" i="3"/>
  <c r="AA1084" i="3"/>
  <c r="V1085" i="3"/>
  <c r="W1085" i="3"/>
  <c r="X1085" i="3"/>
  <c r="Y1085" i="3"/>
  <c r="Z1085" i="3"/>
  <c r="AA1085" i="3"/>
  <c r="V1086" i="3"/>
  <c r="W1086" i="3"/>
  <c r="X1086" i="3"/>
  <c r="Y1086" i="3"/>
  <c r="Z1086" i="3"/>
  <c r="AA1086" i="3"/>
  <c r="V1087" i="3"/>
  <c r="W1087" i="3"/>
  <c r="X1087" i="3"/>
  <c r="Y1087" i="3"/>
  <c r="Z1087" i="3"/>
  <c r="AA1087" i="3"/>
  <c r="V1088" i="3"/>
  <c r="W1088" i="3"/>
  <c r="X1088" i="3"/>
  <c r="Y1088" i="3"/>
  <c r="Z1088" i="3"/>
  <c r="AA1088" i="3"/>
  <c r="V1089" i="3"/>
  <c r="W1089" i="3"/>
  <c r="X1089" i="3"/>
  <c r="Y1089" i="3"/>
  <c r="Z1089" i="3"/>
  <c r="AA1089" i="3"/>
  <c r="V1090" i="3"/>
  <c r="W1090" i="3"/>
  <c r="X1090" i="3"/>
  <c r="Y1090" i="3"/>
  <c r="Z1090" i="3"/>
  <c r="AA1090" i="3"/>
  <c r="V1091" i="3"/>
  <c r="W1091" i="3"/>
  <c r="X1091" i="3"/>
  <c r="Y1091" i="3"/>
  <c r="Z1091" i="3"/>
  <c r="AA1091" i="3"/>
  <c r="V1092" i="3"/>
  <c r="W1092" i="3"/>
  <c r="X1092" i="3"/>
  <c r="Y1092" i="3"/>
  <c r="Z1092" i="3"/>
  <c r="AA1092" i="3"/>
  <c r="V1093" i="3"/>
  <c r="W1093" i="3"/>
  <c r="X1093" i="3"/>
  <c r="Y1093" i="3"/>
  <c r="Z1093" i="3"/>
  <c r="AA1093" i="3"/>
  <c r="V1094" i="3"/>
  <c r="W1094" i="3"/>
  <c r="X1094" i="3"/>
  <c r="Y1094" i="3"/>
  <c r="Z1094" i="3"/>
  <c r="AA1094" i="3"/>
  <c r="V1095" i="3"/>
  <c r="W1095" i="3"/>
  <c r="X1095" i="3"/>
  <c r="Y1095" i="3"/>
  <c r="Z1095" i="3"/>
  <c r="AA1095" i="3"/>
  <c r="V1096" i="3"/>
  <c r="W1096" i="3"/>
  <c r="X1096" i="3"/>
  <c r="Y1096" i="3"/>
  <c r="Z1096" i="3"/>
  <c r="AA1096" i="3"/>
  <c r="V1097" i="3"/>
  <c r="W1097" i="3"/>
  <c r="X1097" i="3"/>
  <c r="Y1097" i="3"/>
  <c r="Z1097" i="3"/>
  <c r="AA1097" i="3"/>
  <c r="V1098" i="3"/>
  <c r="W1098" i="3"/>
  <c r="X1098" i="3"/>
  <c r="Y1098" i="3"/>
  <c r="Z1098" i="3"/>
  <c r="AA1098" i="3"/>
  <c r="V1099" i="3"/>
  <c r="W1099" i="3"/>
  <c r="X1099" i="3"/>
  <c r="Y1099" i="3"/>
  <c r="Z1099" i="3"/>
  <c r="AA1099" i="3"/>
  <c r="V1100" i="3"/>
  <c r="W1100" i="3"/>
  <c r="X1100" i="3"/>
  <c r="Y1100" i="3"/>
  <c r="Z1100" i="3"/>
  <c r="AA1100" i="3"/>
  <c r="V1101" i="3"/>
  <c r="W1101" i="3"/>
  <c r="X1101" i="3"/>
  <c r="Y1101" i="3"/>
  <c r="Z1101" i="3"/>
  <c r="AA1101" i="3"/>
  <c r="V1102" i="3"/>
  <c r="W1102" i="3"/>
  <c r="X1102" i="3"/>
  <c r="Y1102" i="3"/>
  <c r="Z1102" i="3"/>
  <c r="AA1102" i="3"/>
  <c r="V1103" i="3"/>
  <c r="W1103" i="3"/>
  <c r="X1103" i="3"/>
  <c r="Y1103" i="3"/>
  <c r="Z1103" i="3"/>
  <c r="AA1103" i="3"/>
  <c r="V1104" i="3"/>
  <c r="W1104" i="3"/>
  <c r="X1104" i="3"/>
  <c r="Y1104" i="3"/>
  <c r="Z1104" i="3"/>
  <c r="AA1104" i="3"/>
  <c r="V1105" i="3"/>
  <c r="W1105" i="3"/>
  <c r="X1105" i="3"/>
  <c r="Y1105" i="3"/>
  <c r="Z1105" i="3"/>
  <c r="AA1105" i="3"/>
  <c r="V1106" i="3"/>
  <c r="W1106" i="3"/>
  <c r="X1106" i="3"/>
  <c r="Y1106" i="3"/>
  <c r="Z1106" i="3"/>
  <c r="AA1106" i="3"/>
  <c r="V1107" i="3"/>
  <c r="W1107" i="3"/>
  <c r="X1107" i="3"/>
  <c r="Y1107" i="3"/>
  <c r="Z1107" i="3"/>
  <c r="AA1107" i="3"/>
  <c r="V1108" i="3"/>
  <c r="W1108" i="3"/>
  <c r="X1108" i="3"/>
  <c r="Y1108" i="3"/>
  <c r="Z1108" i="3"/>
  <c r="AA1108" i="3"/>
  <c r="V1109" i="3"/>
  <c r="W1109" i="3"/>
  <c r="X1109" i="3"/>
  <c r="Y1109" i="3"/>
  <c r="Z1109" i="3"/>
  <c r="AA1109" i="3"/>
  <c r="V1110" i="3"/>
  <c r="W1110" i="3"/>
  <c r="X1110" i="3"/>
  <c r="Y1110" i="3"/>
  <c r="Z1110" i="3"/>
  <c r="AA1110" i="3"/>
  <c r="V1111" i="3"/>
  <c r="W1111" i="3"/>
  <c r="X1111" i="3"/>
  <c r="Y1111" i="3"/>
  <c r="Z1111" i="3"/>
  <c r="AA1111" i="3"/>
  <c r="V1112" i="3"/>
  <c r="W1112" i="3"/>
  <c r="X1112" i="3"/>
  <c r="Y1112" i="3"/>
  <c r="Z1112" i="3"/>
  <c r="AA1112" i="3"/>
  <c r="V1113" i="3"/>
  <c r="W1113" i="3"/>
  <c r="X1113" i="3"/>
  <c r="Y1113" i="3"/>
  <c r="Z1113" i="3"/>
  <c r="AA1113" i="3"/>
  <c r="V1114" i="3"/>
  <c r="W1114" i="3"/>
  <c r="X1114" i="3"/>
  <c r="Y1114" i="3"/>
  <c r="Z1114" i="3"/>
  <c r="AA1114" i="3"/>
  <c r="V1115" i="3"/>
  <c r="W1115" i="3"/>
  <c r="X1115" i="3"/>
  <c r="Y1115" i="3"/>
  <c r="Z1115" i="3"/>
  <c r="AA1115" i="3"/>
  <c r="V1116" i="3"/>
  <c r="W1116" i="3"/>
  <c r="X1116" i="3"/>
  <c r="Y1116" i="3"/>
  <c r="Z1116" i="3"/>
  <c r="AA1116" i="3"/>
  <c r="V1117" i="3"/>
  <c r="W1117" i="3"/>
  <c r="X1117" i="3"/>
  <c r="Y1117" i="3"/>
  <c r="Z1117" i="3"/>
  <c r="AA1117" i="3"/>
  <c r="V1118" i="3"/>
  <c r="W1118" i="3"/>
  <c r="X1118" i="3"/>
  <c r="Y1118" i="3"/>
  <c r="Z1118" i="3"/>
  <c r="AA1118" i="3"/>
  <c r="V1119" i="3"/>
  <c r="W1119" i="3"/>
  <c r="X1119" i="3"/>
  <c r="Y1119" i="3"/>
  <c r="Z1119" i="3"/>
  <c r="AA1119" i="3"/>
  <c r="V1120" i="3"/>
  <c r="W1120" i="3"/>
  <c r="X1120" i="3"/>
  <c r="Y1120" i="3"/>
  <c r="Z1120" i="3"/>
  <c r="AA1120" i="3"/>
  <c r="V1121" i="3"/>
  <c r="W1121" i="3"/>
  <c r="X1121" i="3"/>
  <c r="Y1121" i="3"/>
  <c r="Z1121" i="3"/>
  <c r="AA1121" i="3"/>
  <c r="V1122" i="3"/>
  <c r="W1122" i="3"/>
  <c r="X1122" i="3"/>
  <c r="Y1122" i="3"/>
  <c r="Z1122" i="3"/>
  <c r="AA1122" i="3"/>
  <c r="V1123" i="3"/>
  <c r="W1123" i="3"/>
  <c r="X1123" i="3"/>
  <c r="Y1123" i="3"/>
  <c r="Z1123" i="3"/>
  <c r="AA1123" i="3"/>
  <c r="V1124" i="3"/>
  <c r="W1124" i="3"/>
  <c r="X1124" i="3"/>
  <c r="Y1124" i="3"/>
  <c r="Z1124" i="3"/>
  <c r="AA1124" i="3"/>
  <c r="V1125" i="3"/>
  <c r="W1125" i="3"/>
  <c r="X1125" i="3"/>
  <c r="Y1125" i="3"/>
  <c r="Z1125" i="3"/>
  <c r="AA1125" i="3"/>
  <c r="V1126" i="3"/>
  <c r="W1126" i="3"/>
  <c r="X1126" i="3"/>
  <c r="Y1126" i="3"/>
  <c r="Z1126" i="3"/>
  <c r="AA1126" i="3"/>
  <c r="V1127" i="3"/>
  <c r="W1127" i="3"/>
  <c r="X1127" i="3"/>
  <c r="Y1127" i="3"/>
  <c r="Z1127" i="3"/>
  <c r="AA1127" i="3"/>
  <c r="V1128" i="3"/>
  <c r="W1128" i="3"/>
  <c r="X1128" i="3"/>
  <c r="Y1128" i="3"/>
  <c r="Z1128" i="3"/>
  <c r="AA1128" i="3"/>
  <c r="V1129" i="3"/>
  <c r="W1129" i="3"/>
  <c r="X1129" i="3"/>
  <c r="Y1129" i="3"/>
  <c r="Z1129" i="3"/>
  <c r="AA1129" i="3"/>
  <c r="V1130" i="3"/>
  <c r="W1130" i="3"/>
  <c r="X1130" i="3"/>
  <c r="Y1130" i="3"/>
  <c r="Z1130" i="3"/>
  <c r="AA1130" i="3"/>
  <c r="V1131" i="3"/>
  <c r="W1131" i="3"/>
  <c r="X1131" i="3"/>
  <c r="Y1131" i="3"/>
  <c r="Z1131" i="3"/>
  <c r="AA1131" i="3"/>
  <c r="V1132" i="3"/>
  <c r="W1132" i="3"/>
  <c r="X1132" i="3"/>
  <c r="Y1132" i="3"/>
  <c r="Z1132" i="3"/>
  <c r="AA1132" i="3"/>
  <c r="V1133" i="3"/>
  <c r="W1133" i="3"/>
  <c r="X1133" i="3"/>
  <c r="Y1133" i="3"/>
  <c r="Z1133" i="3"/>
  <c r="AA1133" i="3"/>
  <c r="V1134" i="3"/>
  <c r="W1134" i="3"/>
  <c r="X1134" i="3"/>
  <c r="Y1134" i="3"/>
  <c r="Z1134" i="3"/>
  <c r="AA1134" i="3"/>
  <c r="V1135" i="3"/>
  <c r="W1135" i="3"/>
  <c r="X1135" i="3"/>
  <c r="Y1135" i="3"/>
  <c r="Z1135" i="3"/>
  <c r="AA1135" i="3"/>
  <c r="V1136" i="3"/>
  <c r="W1136" i="3"/>
  <c r="X1136" i="3"/>
  <c r="Y1136" i="3"/>
  <c r="Z1136" i="3"/>
  <c r="AA1136" i="3"/>
  <c r="V1137" i="3"/>
  <c r="W1137" i="3"/>
  <c r="X1137" i="3"/>
  <c r="Y1137" i="3"/>
  <c r="Z1137" i="3"/>
  <c r="AA1137" i="3"/>
  <c r="V1138" i="3"/>
  <c r="W1138" i="3"/>
  <c r="X1138" i="3"/>
  <c r="Y1138" i="3"/>
  <c r="Z1138" i="3"/>
  <c r="AA1138" i="3"/>
  <c r="V1139" i="3"/>
  <c r="W1139" i="3"/>
  <c r="X1139" i="3"/>
  <c r="Y1139" i="3"/>
  <c r="Z1139" i="3"/>
  <c r="AA1139" i="3"/>
  <c r="V1140" i="3"/>
  <c r="W1140" i="3"/>
  <c r="X1140" i="3"/>
  <c r="Y1140" i="3"/>
  <c r="Z1140" i="3"/>
  <c r="AA1140" i="3"/>
  <c r="V1141" i="3"/>
  <c r="W1141" i="3"/>
  <c r="X1141" i="3"/>
  <c r="Y1141" i="3"/>
  <c r="Z1141" i="3"/>
  <c r="AA1141" i="3"/>
  <c r="V1142" i="3"/>
  <c r="W1142" i="3"/>
  <c r="X1142" i="3"/>
  <c r="Y1142" i="3"/>
  <c r="Z1142" i="3"/>
  <c r="AA1142" i="3"/>
  <c r="V1143" i="3"/>
  <c r="W1143" i="3"/>
  <c r="X1143" i="3"/>
  <c r="Y1143" i="3"/>
  <c r="Z1143" i="3"/>
  <c r="AA1143" i="3"/>
  <c r="V1144" i="3"/>
  <c r="W1144" i="3"/>
  <c r="X1144" i="3"/>
  <c r="Y1144" i="3"/>
  <c r="Z1144" i="3"/>
  <c r="AA1144" i="3"/>
  <c r="V1145" i="3"/>
  <c r="W1145" i="3"/>
  <c r="X1145" i="3"/>
  <c r="Y1145" i="3"/>
  <c r="Z1145" i="3"/>
  <c r="AA1145" i="3"/>
  <c r="V1146" i="3"/>
  <c r="W1146" i="3"/>
  <c r="X1146" i="3"/>
  <c r="Y1146" i="3"/>
  <c r="Z1146" i="3"/>
  <c r="AA1146" i="3"/>
  <c r="V1147" i="3"/>
  <c r="W1147" i="3"/>
  <c r="X1147" i="3"/>
  <c r="Y1147" i="3"/>
  <c r="Z1147" i="3"/>
  <c r="AA1147" i="3"/>
  <c r="V1148" i="3"/>
  <c r="W1148" i="3"/>
  <c r="X1148" i="3"/>
  <c r="Y1148" i="3"/>
  <c r="Z1148" i="3"/>
  <c r="AA1148" i="3"/>
  <c r="V1149" i="3"/>
  <c r="W1149" i="3"/>
  <c r="X1149" i="3"/>
  <c r="Y1149" i="3"/>
  <c r="Z1149" i="3"/>
  <c r="AA1149" i="3"/>
  <c r="V1150" i="3"/>
  <c r="W1150" i="3"/>
  <c r="X1150" i="3"/>
  <c r="Y1150" i="3"/>
  <c r="Z1150" i="3"/>
  <c r="AA1150" i="3"/>
  <c r="V1151" i="3"/>
  <c r="W1151" i="3"/>
  <c r="X1151" i="3"/>
  <c r="Y1151" i="3"/>
  <c r="Z1151" i="3"/>
  <c r="AA1151" i="3"/>
  <c r="V1152" i="3"/>
  <c r="W1152" i="3"/>
  <c r="X1152" i="3"/>
  <c r="Y1152" i="3"/>
  <c r="Z1152" i="3"/>
  <c r="AA1152" i="3"/>
  <c r="V1153" i="3"/>
  <c r="W1153" i="3"/>
  <c r="X1153" i="3"/>
  <c r="Y1153" i="3"/>
  <c r="Z1153" i="3"/>
  <c r="AA1153" i="3"/>
  <c r="V1154" i="3"/>
  <c r="W1154" i="3"/>
  <c r="X1154" i="3"/>
  <c r="Y1154" i="3"/>
  <c r="Z1154" i="3"/>
  <c r="AA1154" i="3"/>
  <c r="V1155" i="3"/>
  <c r="W1155" i="3"/>
  <c r="X1155" i="3"/>
  <c r="Y1155" i="3"/>
  <c r="Z1155" i="3"/>
  <c r="AA1155" i="3"/>
  <c r="V1156" i="3"/>
  <c r="W1156" i="3"/>
  <c r="X1156" i="3"/>
  <c r="Y1156" i="3"/>
  <c r="Z1156" i="3"/>
  <c r="AA1156" i="3"/>
  <c r="V1157" i="3"/>
  <c r="W1157" i="3"/>
  <c r="X1157" i="3"/>
  <c r="Y1157" i="3"/>
  <c r="Z1157" i="3"/>
  <c r="AA1157" i="3"/>
  <c r="V1158" i="3"/>
  <c r="W1158" i="3"/>
  <c r="X1158" i="3"/>
  <c r="Y1158" i="3"/>
  <c r="Z1158" i="3"/>
  <c r="AA1158" i="3"/>
  <c r="V1159" i="3"/>
  <c r="W1159" i="3"/>
  <c r="X1159" i="3"/>
  <c r="Y1159" i="3"/>
  <c r="Z1159" i="3"/>
  <c r="AA1159" i="3"/>
  <c r="V1160" i="3"/>
  <c r="W1160" i="3"/>
  <c r="X1160" i="3"/>
  <c r="Y1160" i="3"/>
  <c r="Z1160" i="3"/>
  <c r="AA1160" i="3"/>
  <c r="V1161" i="3"/>
  <c r="W1161" i="3"/>
  <c r="X1161" i="3"/>
  <c r="Y1161" i="3"/>
  <c r="Z1161" i="3"/>
  <c r="AA1161" i="3"/>
  <c r="V1162" i="3"/>
  <c r="W1162" i="3"/>
  <c r="X1162" i="3"/>
  <c r="Y1162" i="3"/>
  <c r="Z1162" i="3"/>
  <c r="AA1162" i="3"/>
  <c r="V1163" i="3"/>
  <c r="W1163" i="3"/>
  <c r="X1163" i="3"/>
  <c r="Y1163" i="3"/>
  <c r="Z1163" i="3"/>
  <c r="AA1163" i="3"/>
  <c r="V1164" i="3"/>
  <c r="W1164" i="3"/>
  <c r="X1164" i="3"/>
  <c r="Y1164" i="3"/>
  <c r="Z1164" i="3"/>
  <c r="AA1164" i="3"/>
  <c r="V1165" i="3"/>
  <c r="W1165" i="3"/>
  <c r="X1165" i="3"/>
  <c r="Y1165" i="3"/>
  <c r="Z1165" i="3"/>
  <c r="AA1165" i="3"/>
  <c r="V1166" i="3"/>
  <c r="W1166" i="3"/>
  <c r="X1166" i="3"/>
  <c r="Y1166" i="3"/>
  <c r="Z1166" i="3"/>
  <c r="AA1166" i="3"/>
  <c r="V1167" i="3"/>
  <c r="W1167" i="3"/>
  <c r="X1167" i="3"/>
  <c r="Y1167" i="3"/>
  <c r="Z1167" i="3"/>
  <c r="AA1167" i="3"/>
  <c r="V1168" i="3"/>
  <c r="W1168" i="3"/>
  <c r="X1168" i="3"/>
  <c r="Y1168" i="3"/>
  <c r="Z1168" i="3"/>
  <c r="AA1168" i="3"/>
  <c r="V1169" i="3"/>
  <c r="W1169" i="3"/>
  <c r="X1169" i="3"/>
  <c r="Y1169" i="3"/>
  <c r="Z1169" i="3"/>
  <c r="AA1169" i="3"/>
  <c r="V1170" i="3"/>
  <c r="W1170" i="3"/>
  <c r="X1170" i="3"/>
  <c r="Y1170" i="3"/>
  <c r="Z1170" i="3"/>
  <c r="AA1170" i="3"/>
  <c r="V1171" i="3"/>
  <c r="W1171" i="3"/>
  <c r="X1171" i="3"/>
  <c r="Y1171" i="3"/>
  <c r="Z1171" i="3"/>
  <c r="AA1171" i="3"/>
  <c r="V1172" i="3"/>
  <c r="W1172" i="3"/>
  <c r="X1172" i="3"/>
  <c r="Y1172" i="3"/>
  <c r="Z1172" i="3"/>
  <c r="AA1172" i="3"/>
  <c r="V1173" i="3"/>
  <c r="W1173" i="3"/>
  <c r="X1173" i="3"/>
  <c r="Y1173" i="3"/>
  <c r="Z1173" i="3"/>
  <c r="AA1173" i="3"/>
  <c r="V1174" i="3"/>
  <c r="W1174" i="3"/>
  <c r="X1174" i="3"/>
  <c r="Y1174" i="3"/>
  <c r="Z1174" i="3"/>
  <c r="AA1174" i="3"/>
  <c r="V1175" i="3"/>
  <c r="W1175" i="3"/>
  <c r="X1175" i="3"/>
  <c r="Y1175" i="3"/>
  <c r="Z1175" i="3"/>
  <c r="AA1175" i="3"/>
  <c r="V1176" i="3"/>
  <c r="W1176" i="3"/>
  <c r="X1176" i="3"/>
  <c r="Y1176" i="3"/>
  <c r="Z1176" i="3"/>
  <c r="AA1176" i="3"/>
  <c r="V1177" i="3"/>
  <c r="W1177" i="3"/>
  <c r="X1177" i="3"/>
  <c r="Y1177" i="3"/>
  <c r="Z1177" i="3"/>
  <c r="AA1177" i="3"/>
  <c r="V1178" i="3"/>
  <c r="W1178" i="3"/>
  <c r="X1178" i="3"/>
  <c r="Y1178" i="3"/>
  <c r="Z1178" i="3"/>
  <c r="AA1178" i="3"/>
  <c r="V1179" i="3"/>
  <c r="W1179" i="3"/>
  <c r="X1179" i="3"/>
  <c r="Y1179" i="3"/>
  <c r="Z1179" i="3"/>
  <c r="AA1179" i="3"/>
  <c r="V1180" i="3"/>
  <c r="W1180" i="3"/>
  <c r="X1180" i="3"/>
  <c r="Y1180" i="3"/>
  <c r="Z1180" i="3"/>
  <c r="AA1180" i="3"/>
  <c r="V1181" i="3"/>
  <c r="W1181" i="3"/>
  <c r="X1181" i="3"/>
  <c r="Y1181" i="3"/>
  <c r="Z1181" i="3"/>
  <c r="AA1181" i="3"/>
  <c r="V1182" i="3"/>
  <c r="W1182" i="3"/>
  <c r="X1182" i="3"/>
  <c r="Y1182" i="3"/>
  <c r="Z1182" i="3"/>
  <c r="AA1182" i="3"/>
  <c r="V1183" i="3"/>
  <c r="W1183" i="3"/>
  <c r="X1183" i="3"/>
  <c r="Y1183" i="3"/>
  <c r="Z1183" i="3"/>
  <c r="AA1183" i="3"/>
  <c r="V1184" i="3"/>
  <c r="W1184" i="3"/>
  <c r="X1184" i="3"/>
  <c r="Y1184" i="3"/>
  <c r="Z1184" i="3"/>
  <c r="AA1184" i="3"/>
  <c r="V1185" i="3"/>
  <c r="W1185" i="3"/>
  <c r="X1185" i="3"/>
  <c r="Y1185" i="3"/>
  <c r="Z1185" i="3"/>
  <c r="AA1185" i="3"/>
  <c r="V1186" i="3"/>
  <c r="W1186" i="3"/>
  <c r="X1186" i="3"/>
  <c r="Y1186" i="3"/>
  <c r="Z1186" i="3"/>
  <c r="AA1186" i="3"/>
  <c r="V1187" i="3"/>
  <c r="W1187" i="3"/>
  <c r="X1187" i="3"/>
  <c r="Y1187" i="3"/>
  <c r="Z1187" i="3"/>
  <c r="AA1187" i="3"/>
  <c r="V1188" i="3"/>
  <c r="W1188" i="3"/>
  <c r="X1188" i="3"/>
  <c r="Y1188" i="3"/>
  <c r="Z1188" i="3"/>
  <c r="AA1188" i="3"/>
  <c r="V1189" i="3"/>
  <c r="W1189" i="3"/>
  <c r="X1189" i="3"/>
  <c r="Y1189" i="3"/>
  <c r="Z1189" i="3"/>
  <c r="AA1189" i="3"/>
  <c r="V1190" i="3"/>
  <c r="W1190" i="3"/>
  <c r="X1190" i="3"/>
  <c r="Y1190" i="3"/>
  <c r="Z1190" i="3"/>
  <c r="AA1190" i="3"/>
  <c r="V1191" i="3"/>
  <c r="W1191" i="3"/>
  <c r="X1191" i="3"/>
  <c r="Y1191" i="3"/>
  <c r="Z1191" i="3"/>
  <c r="AA1191" i="3"/>
  <c r="V1192" i="3"/>
  <c r="W1192" i="3"/>
  <c r="X1192" i="3"/>
  <c r="Y1192" i="3"/>
  <c r="Z1192" i="3"/>
  <c r="AA1192" i="3"/>
  <c r="V1193" i="3"/>
  <c r="W1193" i="3"/>
  <c r="X1193" i="3"/>
  <c r="Y1193" i="3"/>
  <c r="Z1193" i="3"/>
  <c r="AA1193" i="3"/>
  <c r="V1194" i="3"/>
  <c r="W1194" i="3"/>
  <c r="X1194" i="3"/>
  <c r="Y1194" i="3"/>
  <c r="Z1194" i="3"/>
  <c r="AA1194" i="3"/>
  <c r="V1195" i="3"/>
  <c r="W1195" i="3"/>
  <c r="X1195" i="3"/>
  <c r="Y1195" i="3"/>
  <c r="Z1195" i="3"/>
  <c r="AA1195" i="3"/>
  <c r="V1196" i="3"/>
  <c r="W1196" i="3"/>
  <c r="X1196" i="3"/>
  <c r="Y1196" i="3"/>
  <c r="Z1196" i="3"/>
  <c r="AA1196" i="3"/>
  <c r="V1197" i="3"/>
  <c r="W1197" i="3"/>
  <c r="X1197" i="3"/>
  <c r="Y1197" i="3"/>
  <c r="Z1197" i="3"/>
  <c r="AA1197" i="3"/>
  <c r="V1198" i="3"/>
  <c r="W1198" i="3"/>
  <c r="X1198" i="3"/>
  <c r="Y1198" i="3"/>
  <c r="Z1198" i="3"/>
  <c r="AA1198" i="3"/>
  <c r="V1199" i="3"/>
  <c r="W1199" i="3"/>
  <c r="X1199" i="3"/>
  <c r="Y1199" i="3"/>
  <c r="Z1199" i="3"/>
  <c r="AA1199" i="3"/>
  <c r="V1200" i="3"/>
  <c r="W1200" i="3"/>
  <c r="X1200" i="3"/>
  <c r="Y1200" i="3"/>
  <c r="Z1200" i="3"/>
  <c r="AA1200" i="3"/>
  <c r="V1201" i="3"/>
  <c r="W1201" i="3"/>
  <c r="X1201" i="3"/>
  <c r="Y1201" i="3"/>
  <c r="Z1201" i="3"/>
  <c r="AA1201" i="3"/>
  <c r="V1202" i="3"/>
  <c r="W1202" i="3"/>
  <c r="X1202" i="3"/>
  <c r="Y1202" i="3"/>
  <c r="Z1202" i="3"/>
  <c r="AA1202" i="3"/>
  <c r="V1203" i="3"/>
  <c r="W1203" i="3"/>
  <c r="X1203" i="3"/>
  <c r="Y1203" i="3"/>
  <c r="Z1203" i="3"/>
  <c r="AA1203" i="3"/>
  <c r="V1204" i="3"/>
  <c r="W1204" i="3"/>
  <c r="X1204" i="3"/>
  <c r="Y1204" i="3"/>
  <c r="Z1204" i="3"/>
  <c r="AA1204" i="3"/>
  <c r="V1205" i="3"/>
  <c r="W1205" i="3"/>
  <c r="X1205" i="3"/>
  <c r="Y1205" i="3"/>
  <c r="Z1205" i="3"/>
  <c r="AA1205" i="3"/>
  <c r="V1206" i="3"/>
  <c r="W1206" i="3"/>
  <c r="X1206" i="3"/>
  <c r="Y1206" i="3"/>
  <c r="Z1206" i="3"/>
  <c r="AA1206" i="3"/>
  <c r="V1207" i="3"/>
  <c r="W1207" i="3"/>
  <c r="X1207" i="3"/>
  <c r="Y1207" i="3"/>
  <c r="Z1207" i="3"/>
  <c r="AA1207" i="3"/>
  <c r="V1208" i="3"/>
  <c r="W1208" i="3"/>
  <c r="X1208" i="3"/>
  <c r="Y1208" i="3"/>
  <c r="Z1208" i="3"/>
  <c r="AA1208" i="3"/>
  <c r="V1209" i="3"/>
  <c r="W1209" i="3"/>
  <c r="X1209" i="3"/>
  <c r="Y1209" i="3"/>
  <c r="Z1209" i="3"/>
  <c r="AA1209" i="3"/>
  <c r="V1210" i="3"/>
  <c r="W1210" i="3"/>
  <c r="X1210" i="3"/>
  <c r="Y1210" i="3"/>
  <c r="Z1210" i="3"/>
  <c r="AA1210" i="3"/>
  <c r="V1211" i="3"/>
  <c r="W1211" i="3"/>
  <c r="X1211" i="3"/>
  <c r="Y1211" i="3"/>
  <c r="Z1211" i="3"/>
  <c r="AA1211" i="3"/>
  <c r="V1212" i="3"/>
  <c r="W1212" i="3"/>
  <c r="X1212" i="3"/>
  <c r="Y1212" i="3"/>
  <c r="Z1212" i="3"/>
  <c r="AA1212" i="3"/>
  <c r="V1213" i="3"/>
  <c r="W1213" i="3"/>
  <c r="X1213" i="3"/>
  <c r="Y1213" i="3"/>
  <c r="Z1213" i="3"/>
  <c r="AA1213" i="3"/>
  <c r="V1214" i="3"/>
  <c r="W1214" i="3"/>
  <c r="X1214" i="3"/>
  <c r="Y1214" i="3"/>
  <c r="Z1214" i="3"/>
  <c r="AA1214" i="3"/>
  <c r="V1215" i="3"/>
  <c r="W1215" i="3"/>
  <c r="X1215" i="3"/>
  <c r="Y1215" i="3"/>
  <c r="Z1215" i="3"/>
  <c r="AA1215" i="3"/>
  <c r="V1216" i="3"/>
  <c r="W1216" i="3"/>
  <c r="X1216" i="3"/>
  <c r="Y1216" i="3"/>
  <c r="Z1216" i="3"/>
  <c r="AA1216" i="3"/>
  <c r="V1217" i="3"/>
  <c r="W1217" i="3"/>
  <c r="X1217" i="3"/>
  <c r="Y1217" i="3"/>
  <c r="Z1217" i="3"/>
  <c r="AA1217" i="3"/>
  <c r="V1218" i="3"/>
  <c r="W1218" i="3"/>
  <c r="X1218" i="3"/>
  <c r="Y1218" i="3"/>
  <c r="Z1218" i="3"/>
  <c r="AA1218" i="3"/>
  <c r="V1219" i="3"/>
  <c r="W1219" i="3"/>
  <c r="X1219" i="3"/>
  <c r="Y1219" i="3"/>
  <c r="Z1219" i="3"/>
  <c r="AA1219" i="3"/>
  <c r="V1220" i="3"/>
  <c r="W1220" i="3"/>
  <c r="X1220" i="3"/>
  <c r="Y1220" i="3"/>
  <c r="Z1220" i="3"/>
  <c r="AA1220" i="3"/>
  <c r="V1221" i="3"/>
  <c r="W1221" i="3"/>
  <c r="X1221" i="3"/>
  <c r="Y1221" i="3"/>
  <c r="Z1221" i="3"/>
  <c r="AA1221" i="3"/>
  <c r="V1222" i="3"/>
  <c r="W1222" i="3"/>
  <c r="X1222" i="3"/>
  <c r="Y1222" i="3"/>
  <c r="Z1222" i="3"/>
  <c r="AA1222" i="3"/>
  <c r="V1223" i="3"/>
  <c r="W1223" i="3"/>
  <c r="X1223" i="3"/>
  <c r="Y1223" i="3"/>
  <c r="Z1223" i="3"/>
  <c r="AA1223" i="3"/>
  <c r="V1224" i="3"/>
  <c r="W1224" i="3"/>
  <c r="X1224" i="3"/>
  <c r="Y1224" i="3"/>
  <c r="Z1224" i="3"/>
  <c r="AA1224" i="3"/>
  <c r="V1225" i="3"/>
  <c r="W1225" i="3"/>
  <c r="X1225" i="3"/>
  <c r="Y1225" i="3"/>
  <c r="Z1225" i="3"/>
  <c r="AA1225" i="3"/>
  <c r="AA6" i="3"/>
  <c r="Z6" i="3"/>
  <c r="Y6" i="3"/>
  <c r="X6" i="3"/>
  <c r="W6" i="3"/>
  <c r="V6" i="3"/>
  <c r="A3" i="6"/>
  <c r="Q3" i="6"/>
  <c r="AG3" i="6"/>
  <c r="Y2" i="3" l="1"/>
  <c r="Y3" i="3" s="1"/>
  <c r="V2" i="3"/>
  <c r="V3" i="3" s="1"/>
  <c r="Z2" i="3"/>
  <c r="Z3" i="3" s="1"/>
  <c r="W2" i="3"/>
  <c r="W3" i="3" s="1"/>
  <c r="AA2" i="3"/>
  <c r="AA3" i="3" s="1"/>
  <c r="X2" i="3"/>
  <c r="U38" i="3"/>
  <c r="T7" i="3"/>
  <c r="U7" i="3"/>
  <c r="T8" i="3"/>
  <c r="U8" i="3"/>
  <c r="T9" i="3"/>
  <c r="U9" i="3"/>
  <c r="T10" i="3"/>
  <c r="U10" i="3"/>
  <c r="T11" i="3"/>
  <c r="U11" i="3"/>
  <c r="T12" i="3"/>
  <c r="U12" i="3"/>
  <c r="T13" i="3"/>
  <c r="U13" i="3"/>
  <c r="T14" i="3"/>
  <c r="U14" i="3"/>
  <c r="T15" i="3"/>
  <c r="U15" i="3"/>
  <c r="T16" i="3"/>
  <c r="U16" i="3"/>
  <c r="T17" i="3"/>
  <c r="U17" i="3"/>
  <c r="T18" i="3"/>
  <c r="U18" i="3"/>
  <c r="T19" i="3"/>
  <c r="U19" i="3"/>
  <c r="T20" i="3"/>
  <c r="U20" i="3"/>
  <c r="T21" i="3"/>
  <c r="U21" i="3"/>
  <c r="T22" i="3"/>
  <c r="U22" i="3"/>
  <c r="T23" i="3"/>
  <c r="U23" i="3"/>
  <c r="T24" i="3"/>
  <c r="U24" i="3"/>
  <c r="T25" i="3"/>
  <c r="U25" i="3"/>
  <c r="T26" i="3"/>
  <c r="U26" i="3"/>
  <c r="T27" i="3"/>
  <c r="U27" i="3"/>
  <c r="T28" i="3"/>
  <c r="U28" i="3"/>
  <c r="T29" i="3"/>
  <c r="U29" i="3"/>
  <c r="T30" i="3"/>
  <c r="U30" i="3"/>
  <c r="T31" i="3"/>
  <c r="U31" i="3"/>
  <c r="T32" i="3"/>
  <c r="U32" i="3"/>
  <c r="T33" i="3"/>
  <c r="U33" i="3"/>
  <c r="T34" i="3"/>
  <c r="U34" i="3"/>
  <c r="T35" i="3"/>
  <c r="U35" i="3"/>
  <c r="T36" i="3"/>
  <c r="U36" i="3"/>
  <c r="T37" i="3"/>
  <c r="U37" i="3"/>
  <c r="T38" i="3"/>
  <c r="T39" i="3"/>
  <c r="U39" i="3"/>
  <c r="T40" i="3"/>
  <c r="U40" i="3"/>
  <c r="T41" i="3"/>
  <c r="U41" i="3"/>
  <c r="T42" i="3"/>
  <c r="U42" i="3"/>
  <c r="T43" i="3"/>
  <c r="U43" i="3"/>
  <c r="T44" i="3"/>
  <c r="U44" i="3"/>
  <c r="T45" i="3"/>
  <c r="U45" i="3"/>
  <c r="T46" i="3"/>
  <c r="U46" i="3"/>
  <c r="T47" i="3"/>
  <c r="U47" i="3"/>
  <c r="T48" i="3"/>
  <c r="U48" i="3"/>
  <c r="T49" i="3"/>
  <c r="U49" i="3"/>
  <c r="T50" i="3"/>
  <c r="U50" i="3"/>
  <c r="T51" i="3"/>
  <c r="U51" i="3"/>
  <c r="T52" i="3"/>
  <c r="U52" i="3"/>
  <c r="T53" i="3"/>
  <c r="U53" i="3"/>
  <c r="T54" i="3"/>
  <c r="U54" i="3"/>
  <c r="T55" i="3"/>
  <c r="U55" i="3"/>
  <c r="T56" i="3"/>
  <c r="U56" i="3"/>
  <c r="T57" i="3"/>
  <c r="U57" i="3"/>
  <c r="T58" i="3"/>
  <c r="U58" i="3"/>
  <c r="T59" i="3"/>
  <c r="U59" i="3"/>
  <c r="T60" i="3"/>
  <c r="U60" i="3"/>
  <c r="T61" i="3"/>
  <c r="U61" i="3"/>
  <c r="T62" i="3"/>
  <c r="U62" i="3"/>
  <c r="T63" i="3"/>
  <c r="U63" i="3"/>
  <c r="T64" i="3"/>
  <c r="U64" i="3"/>
  <c r="T65" i="3"/>
  <c r="U65" i="3"/>
  <c r="T66" i="3"/>
  <c r="U66" i="3"/>
  <c r="T67" i="3"/>
  <c r="U67" i="3"/>
  <c r="T68" i="3"/>
  <c r="U68" i="3"/>
  <c r="T69" i="3"/>
  <c r="U69" i="3"/>
  <c r="T70" i="3"/>
  <c r="U70" i="3"/>
  <c r="T71" i="3"/>
  <c r="U71" i="3"/>
  <c r="T72" i="3"/>
  <c r="U72" i="3"/>
  <c r="T73" i="3"/>
  <c r="U73" i="3"/>
  <c r="T74" i="3"/>
  <c r="U74" i="3"/>
  <c r="T75" i="3"/>
  <c r="U75" i="3"/>
  <c r="T76" i="3"/>
  <c r="U76" i="3"/>
  <c r="T77" i="3"/>
  <c r="U77" i="3"/>
  <c r="T78" i="3"/>
  <c r="U78" i="3"/>
  <c r="T79" i="3"/>
  <c r="U79" i="3"/>
  <c r="T80" i="3"/>
  <c r="U80" i="3"/>
  <c r="T81" i="3"/>
  <c r="U81" i="3"/>
  <c r="T82" i="3"/>
  <c r="U82" i="3"/>
  <c r="T83" i="3"/>
  <c r="U83" i="3"/>
  <c r="T84" i="3"/>
  <c r="U84" i="3"/>
  <c r="T85" i="3"/>
  <c r="U85" i="3"/>
  <c r="T86" i="3"/>
  <c r="U86" i="3"/>
  <c r="T87" i="3"/>
  <c r="U87" i="3"/>
  <c r="T88" i="3"/>
  <c r="U88" i="3"/>
  <c r="T89" i="3"/>
  <c r="U89" i="3"/>
  <c r="T90" i="3"/>
  <c r="U90" i="3"/>
  <c r="T91" i="3"/>
  <c r="U91" i="3"/>
  <c r="T92" i="3"/>
  <c r="U92" i="3"/>
  <c r="T93" i="3"/>
  <c r="U93" i="3"/>
  <c r="T94" i="3"/>
  <c r="U94" i="3"/>
  <c r="T95" i="3"/>
  <c r="U95" i="3"/>
  <c r="T96" i="3"/>
  <c r="U96" i="3"/>
  <c r="T97" i="3"/>
  <c r="U97" i="3"/>
  <c r="T98" i="3"/>
  <c r="U98" i="3"/>
  <c r="T99" i="3"/>
  <c r="U99" i="3"/>
  <c r="T100" i="3"/>
  <c r="U100" i="3"/>
  <c r="T101" i="3"/>
  <c r="U101" i="3"/>
  <c r="T102" i="3"/>
  <c r="U102" i="3"/>
  <c r="T103" i="3"/>
  <c r="U103" i="3"/>
  <c r="T104" i="3"/>
  <c r="U104" i="3"/>
  <c r="T105" i="3"/>
  <c r="U105" i="3"/>
  <c r="T106" i="3"/>
  <c r="U106" i="3"/>
  <c r="T107" i="3"/>
  <c r="U107" i="3"/>
  <c r="T108" i="3"/>
  <c r="U108" i="3"/>
  <c r="T109" i="3"/>
  <c r="U109" i="3"/>
  <c r="T110" i="3"/>
  <c r="U110" i="3"/>
  <c r="T111" i="3"/>
  <c r="U111" i="3"/>
  <c r="T112" i="3"/>
  <c r="U112" i="3"/>
  <c r="T113" i="3"/>
  <c r="U113" i="3"/>
  <c r="T114" i="3"/>
  <c r="U114" i="3"/>
  <c r="T115" i="3"/>
  <c r="U115" i="3"/>
  <c r="T116" i="3"/>
  <c r="U116" i="3"/>
  <c r="T117" i="3"/>
  <c r="U117" i="3"/>
  <c r="T118" i="3"/>
  <c r="U118" i="3"/>
  <c r="T119" i="3"/>
  <c r="U119" i="3"/>
  <c r="T120" i="3"/>
  <c r="U120" i="3"/>
  <c r="T121" i="3"/>
  <c r="U121" i="3"/>
  <c r="T122" i="3"/>
  <c r="U122" i="3"/>
  <c r="T123" i="3"/>
  <c r="U123" i="3"/>
  <c r="T124" i="3"/>
  <c r="U124" i="3"/>
  <c r="T125" i="3"/>
  <c r="U125" i="3"/>
  <c r="T126" i="3"/>
  <c r="U126" i="3"/>
  <c r="T127" i="3"/>
  <c r="U127" i="3"/>
  <c r="T128" i="3"/>
  <c r="U128" i="3"/>
  <c r="T129" i="3"/>
  <c r="U129" i="3"/>
  <c r="T130" i="3"/>
  <c r="U130" i="3"/>
  <c r="T131" i="3"/>
  <c r="U131" i="3"/>
  <c r="T132" i="3"/>
  <c r="U132" i="3"/>
  <c r="T133" i="3"/>
  <c r="U133" i="3"/>
  <c r="T134" i="3"/>
  <c r="U134" i="3"/>
  <c r="T135" i="3"/>
  <c r="U135" i="3"/>
  <c r="T136" i="3"/>
  <c r="U136" i="3"/>
  <c r="T137" i="3"/>
  <c r="U137" i="3"/>
  <c r="T138" i="3"/>
  <c r="U138" i="3"/>
  <c r="T139" i="3"/>
  <c r="U139" i="3"/>
  <c r="T140" i="3"/>
  <c r="U140" i="3"/>
  <c r="T141" i="3"/>
  <c r="U141" i="3"/>
  <c r="T142" i="3"/>
  <c r="U142" i="3"/>
  <c r="T143" i="3"/>
  <c r="U143" i="3"/>
  <c r="T144" i="3"/>
  <c r="U144" i="3"/>
  <c r="T145" i="3"/>
  <c r="U145" i="3"/>
  <c r="T146" i="3"/>
  <c r="U146" i="3"/>
  <c r="T147" i="3"/>
  <c r="U147" i="3"/>
  <c r="T148" i="3"/>
  <c r="U148" i="3"/>
  <c r="T149" i="3"/>
  <c r="U149" i="3"/>
  <c r="T150" i="3"/>
  <c r="U150" i="3"/>
  <c r="T151" i="3"/>
  <c r="U151" i="3"/>
  <c r="T152" i="3"/>
  <c r="U152" i="3"/>
  <c r="T153" i="3"/>
  <c r="U153" i="3"/>
  <c r="T154" i="3"/>
  <c r="U154" i="3"/>
  <c r="T155" i="3"/>
  <c r="U155" i="3"/>
  <c r="T156" i="3"/>
  <c r="U156" i="3"/>
  <c r="T157" i="3"/>
  <c r="U157" i="3"/>
  <c r="T158" i="3"/>
  <c r="U158" i="3"/>
  <c r="T159" i="3"/>
  <c r="U159" i="3"/>
  <c r="T160" i="3"/>
  <c r="U160" i="3"/>
  <c r="T161" i="3"/>
  <c r="U161" i="3"/>
  <c r="T162" i="3"/>
  <c r="U162" i="3"/>
  <c r="T163" i="3"/>
  <c r="U163" i="3"/>
  <c r="T164" i="3"/>
  <c r="U164" i="3"/>
  <c r="T165" i="3"/>
  <c r="U165" i="3"/>
  <c r="T166" i="3"/>
  <c r="U166" i="3"/>
  <c r="T167" i="3"/>
  <c r="U167" i="3"/>
  <c r="T168" i="3"/>
  <c r="U168" i="3"/>
  <c r="T169" i="3"/>
  <c r="U169" i="3"/>
  <c r="T170" i="3"/>
  <c r="U170" i="3"/>
  <c r="T171" i="3"/>
  <c r="U171" i="3"/>
  <c r="T172" i="3"/>
  <c r="U172" i="3"/>
  <c r="T173" i="3"/>
  <c r="U173" i="3"/>
  <c r="T174" i="3"/>
  <c r="U174" i="3"/>
  <c r="T175" i="3"/>
  <c r="U175" i="3"/>
  <c r="T176" i="3"/>
  <c r="U176" i="3"/>
  <c r="T177" i="3"/>
  <c r="U177" i="3"/>
  <c r="T178" i="3"/>
  <c r="U178" i="3"/>
  <c r="T179" i="3"/>
  <c r="U179" i="3"/>
  <c r="T180" i="3"/>
  <c r="U180" i="3"/>
  <c r="T181" i="3"/>
  <c r="U181" i="3"/>
  <c r="T182" i="3"/>
  <c r="U182" i="3"/>
  <c r="T183" i="3"/>
  <c r="U183" i="3"/>
  <c r="T184" i="3"/>
  <c r="U184" i="3"/>
  <c r="T185" i="3"/>
  <c r="U185" i="3"/>
  <c r="T186" i="3"/>
  <c r="U186" i="3"/>
  <c r="T187" i="3"/>
  <c r="U187" i="3"/>
  <c r="T188" i="3"/>
  <c r="U188" i="3"/>
  <c r="T189" i="3"/>
  <c r="U189" i="3"/>
  <c r="T190" i="3"/>
  <c r="U190" i="3"/>
  <c r="T191" i="3"/>
  <c r="U191" i="3"/>
  <c r="T192" i="3"/>
  <c r="U192" i="3"/>
  <c r="T193" i="3"/>
  <c r="U193" i="3"/>
  <c r="T194" i="3"/>
  <c r="U194" i="3"/>
  <c r="T195" i="3"/>
  <c r="U195" i="3"/>
  <c r="T196" i="3"/>
  <c r="U196" i="3"/>
  <c r="T197" i="3"/>
  <c r="U197" i="3"/>
  <c r="T198" i="3"/>
  <c r="U198" i="3"/>
  <c r="T199" i="3"/>
  <c r="U199" i="3"/>
  <c r="T200" i="3"/>
  <c r="U200" i="3"/>
  <c r="T201" i="3"/>
  <c r="U201" i="3"/>
  <c r="T202" i="3"/>
  <c r="U202" i="3"/>
  <c r="T203" i="3"/>
  <c r="U203" i="3"/>
  <c r="T204" i="3"/>
  <c r="U204" i="3"/>
  <c r="T205" i="3"/>
  <c r="U205" i="3"/>
  <c r="T206" i="3"/>
  <c r="U206" i="3"/>
  <c r="T207" i="3"/>
  <c r="U207" i="3"/>
  <c r="T208" i="3"/>
  <c r="U208" i="3"/>
  <c r="T209" i="3"/>
  <c r="U209" i="3"/>
  <c r="T210" i="3"/>
  <c r="U210" i="3"/>
  <c r="T211" i="3"/>
  <c r="U211" i="3"/>
  <c r="T212" i="3"/>
  <c r="U212" i="3"/>
  <c r="T213" i="3"/>
  <c r="U213" i="3"/>
  <c r="T214" i="3"/>
  <c r="U214" i="3"/>
  <c r="T215" i="3"/>
  <c r="U215" i="3"/>
  <c r="T216" i="3"/>
  <c r="U216" i="3"/>
  <c r="T217" i="3"/>
  <c r="U217" i="3"/>
  <c r="T218" i="3"/>
  <c r="U218" i="3"/>
  <c r="T219" i="3"/>
  <c r="U219" i="3"/>
  <c r="T220" i="3"/>
  <c r="U220" i="3"/>
  <c r="T221" i="3"/>
  <c r="U221" i="3"/>
  <c r="T222" i="3"/>
  <c r="U222" i="3"/>
  <c r="T223" i="3"/>
  <c r="U223" i="3"/>
  <c r="T224" i="3"/>
  <c r="U224" i="3"/>
  <c r="T225" i="3"/>
  <c r="U225" i="3"/>
  <c r="T226" i="3"/>
  <c r="U226" i="3"/>
  <c r="T227" i="3"/>
  <c r="U227" i="3"/>
  <c r="T228" i="3"/>
  <c r="U228" i="3"/>
  <c r="T229" i="3"/>
  <c r="U229" i="3"/>
  <c r="T230" i="3"/>
  <c r="U230" i="3"/>
  <c r="T231" i="3"/>
  <c r="U231" i="3"/>
  <c r="T232" i="3"/>
  <c r="U232" i="3"/>
  <c r="T233" i="3"/>
  <c r="U233" i="3"/>
  <c r="T234" i="3"/>
  <c r="U234" i="3"/>
  <c r="T235" i="3"/>
  <c r="U235" i="3"/>
  <c r="T236" i="3"/>
  <c r="U236" i="3"/>
  <c r="T237" i="3"/>
  <c r="U237" i="3"/>
  <c r="T238" i="3"/>
  <c r="U238" i="3"/>
  <c r="T239" i="3"/>
  <c r="U239" i="3"/>
  <c r="T240" i="3"/>
  <c r="U240" i="3"/>
  <c r="T241" i="3"/>
  <c r="U241" i="3"/>
  <c r="T242" i="3"/>
  <c r="U242" i="3"/>
  <c r="T243" i="3"/>
  <c r="U243" i="3"/>
  <c r="T244" i="3"/>
  <c r="U244" i="3"/>
  <c r="T245" i="3"/>
  <c r="U245" i="3"/>
  <c r="T246" i="3"/>
  <c r="U246" i="3"/>
  <c r="T247" i="3"/>
  <c r="U247" i="3"/>
  <c r="T248" i="3"/>
  <c r="U248" i="3"/>
  <c r="T249" i="3"/>
  <c r="U249" i="3"/>
  <c r="T250" i="3"/>
  <c r="U250" i="3"/>
  <c r="T251" i="3"/>
  <c r="U251" i="3"/>
  <c r="T252" i="3"/>
  <c r="U252" i="3"/>
  <c r="T253" i="3"/>
  <c r="U253" i="3"/>
  <c r="T254" i="3"/>
  <c r="U254" i="3"/>
  <c r="T255" i="3"/>
  <c r="U255" i="3"/>
  <c r="T256" i="3"/>
  <c r="U256" i="3"/>
  <c r="T257" i="3"/>
  <c r="U257" i="3"/>
  <c r="T258" i="3"/>
  <c r="U258" i="3"/>
  <c r="T259" i="3"/>
  <c r="U259" i="3"/>
  <c r="T260" i="3"/>
  <c r="U260" i="3"/>
  <c r="T261" i="3"/>
  <c r="U261" i="3"/>
  <c r="T262" i="3"/>
  <c r="U262" i="3"/>
  <c r="T263" i="3"/>
  <c r="U263" i="3"/>
  <c r="T264" i="3"/>
  <c r="U264" i="3"/>
  <c r="T265" i="3"/>
  <c r="U265" i="3"/>
  <c r="T266" i="3"/>
  <c r="U266" i="3"/>
  <c r="T267" i="3"/>
  <c r="U267" i="3"/>
  <c r="T268" i="3"/>
  <c r="U268" i="3"/>
  <c r="T269" i="3"/>
  <c r="U269" i="3"/>
  <c r="T270" i="3"/>
  <c r="U270" i="3"/>
  <c r="T271" i="3"/>
  <c r="U271" i="3"/>
  <c r="T272" i="3"/>
  <c r="U272" i="3"/>
  <c r="T273" i="3"/>
  <c r="U273" i="3"/>
  <c r="T274" i="3"/>
  <c r="U274" i="3"/>
  <c r="T275" i="3"/>
  <c r="U275" i="3"/>
  <c r="T276" i="3"/>
  <c r="U276" i="3"/>
  <c r="T277" i="3"/>
  <c r="U277" i="3"/>
  <c r="T278" i="3"/>
  <c r="U278" i="3"/>
  <c r="T279" i="3"/>
  <c r="U279" i="3"/>
  <c r="T280" i="3"/>
  <c r="U280" i="3"/>
  <c r="T281" i="3"/>
  <c r="U281" i="3"/>
  <c r="T282" i="3"/>
  <c r="U282" i="3"/>
  <c r="T283" i="3"/>
  <c r="U283" i="3"/>
  <c r="T284" i="3"/>
  <c r="U284" i="3"/>
  <c r="T285" i="3"/>
  <c r="U285" i="3"/>
  <c r="T286" i="3"/>
  <c r="U286" i="3"/>
  <c r="T287" i="3"/>
  <c r="U287" i="3"/>
  <c r="T288" i="3"/>
  <c r="U288" i="3"/>
  <c r="T289" i="3"/>
  <c r="U289" i="3"/>
  <c r="T290" i="3"/>
  <c r="U290" i="3"/>
  <c r="T291" i="3"/>
  <c r="U291" i="3"/>
  <c r="T292" i="3"/>
  <c r="U292" i="3"/>
  <c r="T293" i="3"/>
  <c r="U293" i="3"/>
  <c r="T294" i="3"/>
  <c r="U294" i="3"/>
  <c r="T295" i="3"/>
  <c r="U295" i="3"/>
  <c r="T296" i="3"/>
  <c r="U296" i="3"/>
  <c r="T297" i="3"/>
  <c r="U297" i="3"/>
  <c r="T298" i="3"/>
  <c r="U298" i="3"/>
  <c r="T299" i="3"/>
  <c r="U299" i="3"/>
  <c r="T300" i="3"/>
  <c r="U300" i="3"/>
  <c r="T301" i="3"/>
  <c r="U301" i="3"/>
  <c r="T302" i="3"/>
  <c r="U302" i="3"/>
  <c r="T303" i="3"/>
  <c r="U303" i="3"/>
  <c r="T304" i="3"/>
  <c r="U304" i="3"/>
  <c r="T305" i="3"/>
  <c r="U305" i="3"/>
  <c r="T306" i="3"/>
  <c r="U306" i="3"/>
  <c r="T307" i="3"/>
  <c r="U307" i="3"/>
  <c r="T308" i="3"/>
  <c r="U308" i="3"/>
  <c r="T309" i="3"/>
  <c r="U309" i="3"/>
  <c r="T310" i="3"/>
  <c r="U310" i="3"/>
  <c r="T311" i="3"/>
  <c r="U311" i="3"/>
  <c r="T312" i="3"/>
  <c r="U312" i="3"/>
  <c r="T313" i="3"/>
  <c r="U313" i="3"/>
  <c r="T314" i="3"/>
  <c r="U314" i="3"/>
  <c r="T315" i="3"/>
  <c r="U315" i="3"/>
  <c r="T316" i="3"/>
  <c r="U316" i="3"/>
  <c r="T317" i="3"/>
  <c r="U317" i="3"/>
  <c r="T318" i="3"/>
  <c r="U318" i="3"/>
  <c r="T319" i="3"/>
  <c r="U319" i="3"/>
  <c r="T320" i="3"/>
  <c r="U320" i="3"/>
  <c r="T321" i="3"/>
  <c r="U321" i="3"/>
  <c r="T322" i="3"/>
  <c r="U322" i="3"/>
  <c r="T323" i="3"/>
  <c r="U323" i="3"/>
  <c r="T324" i="3"/>
  <c r="U324" i="3"/>
  <c r="T325" i="3"/>
  <c r="U325" i="3"/>
  <c r="T326" i="3"/>
  <c r="U326" i="3"/>
  <c r="T327" i="3"/>
  <c r="U327" i="3"/>
  <c r="T328" i="3"/>
  <c r="U328" i="3"/>
  <c r="T329" i="3"/>
  <c r="U329" i="3"/>
  <c r="T330" i="3"/>
  <c r="U330" i="3"/>
  <c r="T331" i="3"/>
  <c r="U331" i="3"/>
  <c r="T332" i="3"/>
  <c r="U332" i="3"/>
  <c r="T333" i="3"/>
  <c r="U333" i="3"/>
  <c r="T334" i="3"/>
  <c r="U334" i="3"/>
  <c r="T335" i="3"/>
  <c r="U335" i="3"/>
  <c r="T336" i="3"/>
  <c r="U336" i="3"/>
  <c r="T337" i="3"/>
  <c r="U337" i="3"/>
  <c r="T338" i="3"/>
  <c r="U338" i="3"/>
  <c r="T339" i="3"/>
  <c r="U339" i="3"/>
  <c r="T340" i="3"/>
  <c r="U340" i="3"/>
  <c r="T341" i="3"/>
  <c r="U341" i="3"/>
  <c r="T342" i="3"/>
  <c r="U342" i="3"/>
  <c r="T343" i="3"/>
  <c r="U343" i="3"/>
  <c r="T344" i="3"/>
  <c r="U344" i="3"/>
  <c r="T345" i="3"/>
  <c r="U345" i="3"/>
  <c r="T346" i="3"/>
  <c r="U346" i="3"/>
  <c r="T347" i="3"/>
  <c r="U347" i="3"/>
  <c r="T348" i="3"/>
  <c r="U348" i="3"/>
  <c r="T349" i="3"/>
  <c r="U349" i="3"/>
  <c r="T350" i="3"/>
  <c r="U350" i="3"/>
  <c r="T351" i="3"/>
  <c r="U351" i="3"/>
  <c r="T352" i="3"/>
  <c r="U352" i="3"/>
  <c r="T353" i="3"/>
  <c r="U353" i="3"/>
  <c r="T354" i="3"/>
  <c r="U354" i="3"/>
  <c r="T355" i="3"/>
  <c r="U355" i="3"/>
  <c r="T356" i="3"/>
  <c r="U356" i="3"/>
  <c r="T357" i="3"/>
  <c r="U357" i="3"/>
  <c r="T358" i="3"/>
  <c r="U358" i="3"/>
  <c r="T359" i="3"/>
  <c r="U359" i="3"/>
  <c r="T360" i="3"/>
  <c r="U360" i="3"/>
  <c r="T361" i="3"/>
  <c r="U361" i="3"/>
  <c r="T362" i="3"/>
  <c r="U362" i="3"/>
  <c r="T363" i="3"/>
  <c r="U363" i="3"/>
  <c r="T364" i="3"/>
  <c r="U364" i="3"/>
  <c r="T365" i="3"/>
  <c r="U365" i="3"/>
  <c r="T366" i="3"/>
  <c r="U366" i="3"/>
  <c r="T367" i="3"/>
  <c r="U367" i="3"/>
  <c r="T368" i="3"/>
  <c r="U368" i="3"/>
  <c r="T369" i="3"/>
  <c r="U369" i="3"/>
  <c r="T370" i="3"/>
  <c r="U370" i="3"/>
  <c r="T371" i="3"/>
  <c r="U371" i="3"/>
  <c r="T372" i="3"/>
  <c r="U372" i="3"/>
  <c r="T373" i="3"/>
  <c r="U373" i="3"/>
  <c r="T374" i="3"/>
  <c r="U374" i="3"/>
  <c r="T375" i="3"/>
  <c r="U375" i="3"/>
  <c r="T376" i="3"/>
  <c r="U376" i="3"/>
  <c r="T377" i="3"/>
  <c r="U377" i="3"/>
  <c r="T378" i="3"/>
  <c r="U378" i="3"/>
  <c r="T379" i="3"/>
  <c r="U379" i="3"/>
  <c r="T380" i="3"/>
  <c r="U380" i="3"/>
  <c r="T381" i="3"/>
  <c r="U381" i="3"/>
  <c r="T382" i="3"/>
  <c r="U382" i="3"/>
  <c r="T383" i="3"/>
  <c r="U383" i="3"/>
  <c r="T384" i="3"/>
  <c r="U384" i="3"/>
  <c r="T385" i="3"/>
  <c r="U385" i="3"/>
  <c r="T386" i="3"/>
  <c r="U386" i="3"/>
  <c r="T387" i="3"/>
  <c r="U387" i="3"/>
  <c r="T388" i="3"/>
  <c r="U388" i="3"/>
  <c r="T389" i="3"/>
  <c r="U389" i="3"/>
  <c r="T390" i="3"/>
  <c r="U390" i="3"/>
  <c r="T391" i="3"/>
  <c r="U391" i="3"/>
  <c r="T392" i="3"/>
  <c r="U392" i="3"/>
  <c r="T393" i="3"/>
  <c r="U393" i="3"/>
  <c r="T394" i="3"/>
  <c r="U394" i="3"/>
  <c r="T395" i="3"/>
  <c r="U395" i="3"/>
  <c r="T396" i="3"/>
  <c r="U396" i="3"/>
  <c r="T397" i="3"/>
  <c r="U397" i="3"/>
  <c r="T398" i="3"/>
  <c r="U398" i="3"/>
  <c r="T399" i="3"/>
  <c r="U399" i="3"/>
  <c r="T400" i="3"/>
  <c r="U400" i="3"/>
  <c r="T401" i="3"/>
  <c r="U401" i="3"/>
  <c r="T402" i="3"/>
  <c r="U402" i="3"/>
  <c r="T403" i="3"/>
  <c r="U403" i="3"/>
  <c r="T404" i="3"/>
  <c r="U404" i="3"/>
  <c r="T405" i="3"/>
  <c r="U405" i="3"/>
  <c r="T406" i="3"/>
  <c r="U406" i="3"/>
  <c r="T407" i="3"/>
  <c r="U407" i="3"/>
  <c r="T408" i="3"/>
  <c r="U408" i="3"/>
  <c r="T409" i="3"/>
  <c r="U409" i="3"/>
  <c r="T410" i="3"/>
  <c r="U410" i="3"/>
  <c r="T411" i="3"/>
  <c r="U411" i="3"/>
  <c r="T412" i="3"/>
  <c r="U412" i="3"/>
  <c r="T413" i="3"/>
  <c r="U413" i="3"/>
  <c r="T414" i="3"/>
  <c r="U414" i="3"/>
  <c r="T415" i="3"/>
  <c r="U415" i="3"/>
  <c r="T416" i="3"/>
  <c r="U416" i="3"/>
  <c r="T417" i="3"/>
  <c r="U417" i="3"/>
  <c r="T418" i="3"/>
  <c r="U418" i="3"/>
  <c r="T419" i="3"/>
  <c r="U419" i="3"/>
  <c r="T420" i="3"/>
  <c r="U420" i="3"/>
  <c r="T421" i="3"/>
  <c r="U421" i="3"/>
  <c r="T422" i="3"/>
  <c r="U422" i="3"/>
  <c r="T423" i="3"/>
  <c r="U423" i="3"/>
  <c r="T424" i="3"/>
  <c r="U424" i="3"/>
  <c r="T425" i="3"/>
  <c r="U425" i="3"/>
  <c r="T426" i="3"/>
  <c r="U426" i="3"/>
  <c r="T427" i="3"/>
  <c r="U427" i="3"/>
  <c r="T428" i="3"/>
  <c r="U428" i="3"/>
  <c r="T429" i="3"/>
  <c r="U429" i="3"/>
  <c r="T430" i="3"/>
  <c r="U430" i="3"/>
  <c r="T431" i="3"/>
  <c r="U431" i="3"/>
  <c r="T432" i="3"/>
  <c r="U432" i="3"/>
  <c r="T433" i="3"/>
  <c r="U433" i="3"/>
  <c r="T434" i="3"/>
  <c r="U434" i="3"/>
  <c r="T435" i="3"/>
  <c r="U435" i="3"/>
  <c r="T436" i="3"/>
  <c r="U436" i="3"/>
  <c r="T437" i="3"/>
  <c r="U437" i="3"/>
  <c r="T438" i="3"/>
  <c r="U438" i="3"/>
  <c r="T439" i="3"/>
  <c r="U439" i="3"/>
  <c r="T440" i="3"/>
  <c r="U440" i="3"/>
  <c r="T441" i="3"/>
  <c r="U441" i="3"/>
  <c r="T442" i="3"/>
  <c r="U442" i="3"/>
  <c r="T443" i="3"/>
  <c r="U443" i="3"/>
  <c r="T444" i="3"/>
  <c r="U444" i="3"/>
  <c r="T445" i="3"/>
  <c r="U445" i="3"/>
  <c r="T446" i="3"/>
  <c r="U446" i="3"/>
  <c r="T447" i="3"/>
  <c r="U447" i="3"/>
  <c r="T448" i="3"/>
  <c r="U448" i="3"/>
  <c r="T449" i="3"/>
  <c r="U449" i="3"/>
  <c r="T450" i="3"/>
  <c r="U450" i="3"/>
  <c r="T451" i="3"/>
  <c r="U451" i="3"/>
  <c r="T452" i="3"/>
  <c r="U452" i="3"/>
  <c r="T453" i="3"/>
  <c r="U453" i="3"/>
  <c r="T454" i="3"/>
  <c r="U454" i="3"/>
  <c r="T455" i="3"/>
  <c r="U455" i="3"/>
  <c r="T456" i="3"/>
  <c r="U456" i="3"/>
  <c r="T457" i="3"/>
  <c r="U457" i="3"/>
  <c r="T458" i="3"/>
  <c r="U458" i="3"/>
  <c r="T459" i="3"/>
  <c r="U459" i="3"/>
  <c r="T460" i="3"/>
  <c r="U460" i="3"/>
  <c r="T461" i="3"/>
  <c r="U461" i="3"/>
  <c r="T462" i="3"/>
  <c r="U462" i="3"/>
  <c r="T463" i="3"/>
  <c r="U463" i="3"/>
  <c r="T464" i="3"/>
  <c r="U464" i="3"/>
  <c r="T465" i="3"/>
  <c r="U465" i="3"/>
  <c r="T466" i="3"/>
  <c r="U466" i="3"/>
  <c r="T467" i="3"/>
  <c r="U467" i="3"/>
  <c r="T468" i="3"/>
  <c r="U468" i="3"/>
  <c r="T469" i="3"/>
  <c r="U469" i="3"/>
  <c r="T470" i="3"/>
  <c r="U470" i="3"/>
  <c r="T471" i="3"/>
  <c r="U471" i="3"/>
  <c r="T472" i="3"/>
  <c r="U472" i="3"/>
  <c r="T473" i="3"/>
  <c r="U473" i="3"/>
  <c r="T474" i="3"/>
  <c r="U474" i="3"/>
  <c r="T475" i="3"/>
  <c r="U475" i="3"/>
  <c r="T476" i="3"/>
  <c r="U476" i="3"/>
  <c r="T477" i="3"/>
  <c r="U477" i="3"/>
  <c r="T478" i="3"/>
  <c r="U478" i="3"/>
  <c r="T479" i="3"/>
  <c r="U479" i="3"/>
  <c r="T480" i="3"/>
  <c r="U480" i="3"/>
  <c r="T481" i="3"/>
  <c r="U481" i="3"/>
  <c r="T482" i="3"/>
  <c r="U482" i="3"/>
  <c r="T483" i="3"/>
  <c r="U483" i="3"/>
  <c r="T484" i="3"/>
  <c r="U484" i="3"/>
  <c r="T485" i="3"/>
  <c r="U485" i="3"/>
  <c r="T486" i="3"/>
  <c r="U486" i="3"/>
  <c r="T487" i="3"/>
  <c r="U487" i="3"/>
  <c r="T488" i="3"/>
  <c r="U488" i="3"/>
  <c r="T489" i="3"/>
  <c r="U489" i="3"/>
  <c r="T490" i="3"/>
  <c r="U490" i="3"/>
  <c r="T491" i="3"/>
  <c r="U491" i="3"/>
  <c r="T492" i="3"/>
  <c r="U492" i="3"/>
  <c r="T493" i="3"/>
  <c r="U493" i="3"/>
  <c r="T494" i="3"/>
  <c r="U494" i="3"/>
  <c r="T495" i="3"/>
  <c r="U495" i="3"/>
  <c r="T496" i="3"/>
  <c r="U496" i="3"/>
  <c r="T497" i="3"/>
  <c r="U497" i="3"/>
  <c r="T498" i="3"/>
  <c r="U498" i="3"/>
  <c r="T499" i="3"/>
  <c r="U499" i="3"/>
  <c r="T500" i="3"/>
  <c r="U500" i="3"/>
  <c r="T501" i="3"/>
  <c r="U501" i="3"/>
  <c r="T502" i="3"/>
  <c r="U502" i="3"/>
  <c r="T503" i="3"/>
  <c r="U503" i="3"/>
  <c r="T504" i="3"/>
  <c r="U504" i="3"/>
  <c r="T505" i="3"/>
  <c r="U505" i="3"/>
  <c r="T506" i="3"/>
  <c r="U506" i="3"/>
  <c r="T507" i="3"/>
  <c r="U507" i="3"/>
  <c r="T508" i="3"/>
  <c r="U508" i="3"/>
  <c r="T509" i="3"/>
  <c r="U509" i="3"/>
  <c r="T510" i="3"/>
  <c r="U510" i="3"/>
  <c r="T511" i="3"/>
  <c r="U511" i="3"/>
  <c r="T512" i="3"/>
  <c r="U512" i="3"/>
  <c r="T513" i="3"/>
  <c r="U513" i="3"/>
  <c r="T514" i="3"/>
  <c r="U514" i="3"/>
  <c r="T515" i="3"/>
  <c r="U515" i="3"/>
  <c r="T516" i="3"/>
  <c r="U516" i="3"/>
  <c r="T517" i="3"/>
  <c r="U517" i="3"/>
  <c r="T518" i="3"/>
  <c r="U518" i="3"/>
  <c r="T519" i="3"/>
  <c r="U519" i="3"/>
  <c r="T520" i="3"/>
  <c r="U520" i="3"/>
  <c r="T521" i="3"/>
  <c r="U521" i="3"/>
  <c r="T522" i="3"/>
  <c r="U522" i="3"/>
  <c r="T523" i="3"/>
  <c r="U523" i="3"/>
  <c r="T524" i="3"/>
  <c r="U524" i="3"/>
  <c r="T525" i="3"/>
  <c r="U525" i="3"/>
  <c r="T526" i="3"/>
  <c r="U526" i="3"/>
  <c r="T527" i="3"/>
  <c r="U527" i="3"/>
  <c r="T528" i="3"/>
  <c r="U528" i="3"/>
  <c r="T529" i="3"/>
  <c r="U529" i="3"/>
  <c r="T530" i="3"/>
  <c r="U530" i="3"/>
  <c r="T531" i="3"/>
  <c r="U531" i="3"/>
  <c r="T532" i="3"/>
  <c r="U532" i="3"/>
  <c r="T533" i="3"/>
  <c r="U533" i="3"/>
  <c r="T534" i="3"/>
  <c r="U534" i="3"/>
  <c r="T535" i="3"/>
  <c r="U535" i="3"/>
  <c r="T536" i="3"/>
  <c r="U536" i="3"/>
  <c r="T537" i="3"/>
  <c r="U537" i="3"/>
  <c r="T538" i="3"/>
  <c r="U538" i="3"/>
  <c r="T539" i="3"/>
  <c r="U539" i="3"/>
  <c r="T540" i="3"/>
  <c r="U540" i="3"/>
  <c r="T541" i="3"/>
  <c r="U541" i="3"/>
  <c r="T542" i="3"/>
  <c r="U542" i="3"/>
  <c r="T543" i="3"/>
  <c r="U543" i="3"/>
  <c r="T544" i="3"/>
  <c r="U544" i="3"/>
  <c r="T545" i="3"/>
  <c r="U545" i="3"/>
  <c r="T546" i="3"/>
  <c r="U546" i="3"/>
  <c r="T547" i="3"/>
  <c r="U547" i="3"/>
  <c r="T548" i="3"/>
  <c r="U548" i="3"/>
  <c r="T549" i="3"/>
  <c r="U549" i="3"/>
  <c r="T550" i="3"/>
  <c r="U550" i="3"/>
  <c r="T551" i="3"/>
  <c r="U551" i="3"/>
  <c r="T552" i="3"/>
  <c r="U552" i="3"/>
  <c r="T553" i="3"/>
  <c r="U553" i="3"/>
  <c r="T554" i="3"/>
  <c r="U554" i="3"/>
  <c r="T555" i="3"/>
  <c r="U555" i="3"/>
  <c r="T556" i="3"/>
  <c r="U556" i="3"/>
  <c r="T557" i="3"/>
  <c r="U557" i="3"/>
  <c r="T558" i="3"/>
  <c r="U558" i="3"/>
  <c r="T559" i="3"/>
  <c r="U559" i="3"/>
  <c r="T560" i="3"/>
  <c r="U560" i="3"/>
  <c r="T561" i="3"/>
  <c r="U561" i="3"/>
  <c r="T562" i="3"/>
  <c r="U562" i="3"/>
  <c r="T563" i="3"/>
  <c r="U563" i="3"/>
  <c r="T564" i="3"/>
  <c r="U564" i="3"/>
  <c r="T565" i="3"/>
  <c r="U565" i="3"/>
  <c r="T566" i="3"/>
  <c r="U566" i="3"/>
  <c r="T567" i="3"/>
  <c r="U567" i="3"/>
  <c r="T568" i="3"/>
  <c r="U568" i="3"/>
  <c r="T569" i="3"/>
  <c r="U569" i="3"/>
  <c r="T570" i="3"/>
  <c r="U570" i="3"/>
  <c r="T571" i="3"/>
  <c r="U571" i="3"/>
  <c r="T572" i="3"/>
  <c r="U572" i="3"/>
  <c r="T573" i="3"/>
  <c r="U573" i="3"/>
  <c r="T574" i="3"/>
  <c r="U574" i="3"/>
  <c r="T575" i="3"/>
  <c r="U575" i="3"/>
  <c r="T576" i="3"/>
  <c r="U576" i="3"/>
  <c r="T577" i="3"/>
  <c r="U577" i="3"/>
  <c r="T578" i="3"/>
  <c r="U578" i="3"/>
  <c r="T579" i="3"/>
  <c r="U579" i="3"/>
  <c r="T580" i="3"/>
  <c r="U580" i="3"/>
  <c r="T581" i="3"/>
  <c r="U581" i="3"/>
  <c r="T582" i="3"/>
  <c r="U582" i="3"/>
  <c r="T583" i="3"/>
  <c r="U583" i="3"/>
  <c r="T584" i="3"/>
  <c r="U584" i="3"/>
  <c r="T585" i="3"/>
  <c r="U585" i="3"/>
  <c r="T586" i="3"/>
  <c r="U586" i="3"/>
  <c r="T587" i="3"/>
  <c r="U587" i="3"/>
  <c r="T588" i="3"/>
  <c r="U588" i="3"/>
  <c r="T589" i="3"/>
  <c r="U589" i="3"/>
  <c r="T590" i="3"/>
  <c r="U590" i="3"/>
  <c r="T591" i="3"/>
  <c r="U591" i="3"/>
  <c r="T592" i="3"/>
  <c r="U592" i="3"/>
  <c r="T593" i="3"/>
  <c r="U593" i="3"/>
  <c r="T594" i="3"/>
  <c r="U594" i="3"/>
  <c r="T595" i="3"/>
  <c r="U595" i="3"/>
  <c r="T596" i="3"/>
  <c r="U596" i="3"/>
  <c r="T597" i="3"/>
  <c r="U597" i="3"/>
  <c r="T598" i="3"/>
  <c r="U598" i="3"/>
  <c r="T599" i="3"/>
  <c r="U599" i="3"/>
  <c r="T600" i="3"/>
  <c r="U600" i="3"/>
  <c r="T601" i="3"/>
  <c r="U601" i="3"/>
  <c r="T602" i="3"/>
  <c r="U602" i="3"/>
  <c r="T603" i="3"/>
  <c r="U603" i="3"/>
  <c r="T604" i="3"/>
  <c r="U604" i="3"/>
  <c r="T605" i="3"/>
  <c r="U605" i="3"/>
  <c r="T606" i="3"/>
  <c r="U606" i="3"/>
  <c r="T607" i="3"/>
  <c r="U607" i="3"/>
  <c r="T608" i="3"/>
  <c r="U608" i="3"/>
  <c r="T609" i="3"/>
  <c r="U609" i="3"/>
  <c r="T610" i="3"/>
  <c r="U610" i="3"/>
  <c r="T611" i="3"/>
  <c r="U611" i="3"/>
  <c r="T612" i="3"/>
  <c r="U612" i="3"/>
  <c r="T613" i="3"/>
  <c r="U613" i="3"/>
  <c r="T614" i="3"/>
  <c r="U614" i="3"/>
  <c r="T615" i="3"/>
  <c r="U615" i="3"/>
  <c r="T616" i="3"/>
  <c r="U616" i="3"/>
  <c r="T617" i="3"/>
  <c r="U617" i="3"/>
  <c r="T618" i="3"/>
  <c r="U618" i="3"/>
  <c r="T619" i="3"/>
  <c r="U619" i="3"/>
  <c r="T620" i="3"/>
  <c r="U620" i="3"/>
  <c r="T621" i="3"/>
  <c r="U621" i="3"/>
  <c r="T622" i="3"/>
  <c r="U622" i="3"/>
  <c r="T623" i="3"/>
  <c r="U623" i="3"/>
  <c r="T624" i="3"/>
  <c r="U624" i="3"/>
  <c r="T625" i="3"/>
  <c r="U625" i="3"/>
  <c r="T626" i="3"/>
  <c r="U626" i="3"/>
  <c r="T627" i="3"/>
  <c r="U627" i="3"/>
  <c r="T628" i="3"/>
  <c r="U628" i="3"/>
  <c r="T629" i="3"/>
  <c r="U629" i="3"/>
  <c r="T630" i="3"/>
  <c r="U630" i="3"/>
  <c r="T631" i="3"/>
  <c r="U631" i="3"/>
  <c r="T632" i="3"/>
  <c r="U632" i="3"/>
  <c r="T633" i="3"/>
  <c r="U633" i="3"/>
  <c r="T634" i="3"/>
  <c r="U634" i="3"/>
  <c r="T635" i="3"/>
  <c r="U635" i="3"/>
  <c r="T636" i="3"/>
  <c r="U636" i="3"/>
  <c r="T637" i="3"/>
  <c r="U637" i="3"/>
  <c r="T638" i="3"/>
  <c r="U638" i="3"/>
  <c r="T639" i="3"/>
  <c r="U639" i="3"/>
  <c r="T640" i="3"/>
  <c r="U640" i="3"/>
  <c r="T641" i="3"/>
  <c r="U641" i="3"/>
  <c r="T642" i="3"/>
  <c r="U642" i="3"/>
  <c r="T643" i="3"/>
  <c r="U643" i="3"/>
  <c r="T644" i="3"/>
  <c r="U644" i="3"/>
  <c r="T645" i="3"/>
  <c r="U645" i="3"/>
  <c r="T646" i="3"/>
  <c r="U646" i="3"/>
  <c r="T647" i="3"/>
  <c r="U647" i="3"/>
  <c r="T648" i="3"/>
  <c r="U648" i="3"/>
  <c r="T649" i="3"/>
  <c r="U649" i="3"/>
  <c r="T650" i="3"/>
  <c r="U650" i="3"/>
  <c r="T651" i="3"/>
  <c r="U651" i="3"/>
  <c r="T652" i="3"/>
  <c r="U652" i="3"/>
  <c r="T653" i="3"/>
  <c r="U653" i="3"/>
  <c r="T654" i="3"/>
  <c r="U654" i="3"/>
  <c r="T655" i="3"/>
  <c r="U655" i="3"/>
  <c r="T656" i="3"/>
  <c r="U656" i="3"/>
  <c r="T657" i="3"/>
  <c r="U657" i="3"/>
  <c r="T658" i="3"/>
  <c r="U658" i="3"/>
  <c r="T659" i="3"/>
  <c r="U659" i="3"/>
  <c r="T660" i="3"/>
  <c r="U660" i="3"/>
  <c r="T661" i="3"/>
  <c r="U661" i="3"/>
  <c r="T662" i="3"/>
  <c r="U662" i="3"/>
  <c r="T663" i="3"/>
  <c r="U663" i="3"/>
  <c r="T664" i="3"/>
  <c r="U664" i="3"/>
  <c r="T665" i="3"/>
  <c r="U665" i="3"/>
  <c r="T666" i="3"/>
  <c r="U666" i="3"/>
  <c r="T667" i="3"/>
  <c r="U667" i="3"/>
  <c r="T668" i="3"/>
  <c r="U668" i="3"/>
  <c r="T669" i="3"/>
  <c r="U669" i="3"/>
  <c r="T670" i="3"/>
  <c r="U670" i="3"/>
  <c r="T671" i="3"/>
  <c r="U671" i="3"/>
  <c r="T672" i="3"/>
  <c r="U672" i="3"/>
  <c r="T673" i="3"/>
  <c r="U673" i="3"/>
  <c r="T674" i="3"/>
  <c r="U674" i="3"/>
  <c r="T675" i="3"/>
  <c r="U675" i="3"/>
  <c r="T676" i="3"/>
  <c r="U676" i="3"/>
  <c r="T677" i="3"/>
  <c r="U677" i="3"/>
  <c r="T678" i="3"/>
  <c r="U678" i="3"/>
  <c r="T679" i="3"/>
  <c r="U679" i="3"/>
  <c r="T680" i="3"/>
  <c r="U680" i="3"/>
  <c r="T681" i="3"/>
  <c r="U681" i="3"/>
  <c r="T682" i="3"/>
  <c r="U682" i="3"/>
  <c r="T683" i="3"/>
  <c r="U683" i="3"/>
  <c r="T684" i="3"/>
  <c r="U684" i="3"/>
  <c r="T685" i="3"/>
  <c r="U685" i="3"/>
  <c r="T686" i="3"/>
  <c r="U686" i="3"/>
  <c r="T687" i="3"/>
  <c r="U687" i="3"/>
  <c r="T688" i="3"/>
  <c r="U688" i="3"/>
  <c r="T689" i="3"/>
  <c r="U689" i="3"/>
  <c r="T690" i="3"/>
  <c r="U690" i="3"/>
  <c r="T691" i="3"/>
  <c r="U691" i="3"/>
  <c r="T692" i="3"/>
  <c r="U692" i="3"/>
  <c r="T693" i="3"/>
  <c r="U693" i="3"/>
  <c r="T694" i="3"/>
  <c r="U694" i="3"/>
  <c r="T695" i="3"/>
  <c r="U695" i="3"/>
  <c r="T696" i="3"/>
  <c r="U696" i="3"/>
  <c r="T697" i="3"/>
  <c r="U697" i="3"/>
  <c r="T698" i="3"/>
  <c r="U698" i="3"/>
  <c r="T699" i="3"/>
  <c r="U699" i="3"/>
  <c r="T700" i="3"/>
  <c r="U700" i="3"/>
  <c r="T701" i="3"/>
  <c r="U701" i="3"/>
  <c r="T702" i="3"/>
  <c r="U702" i="3"/>
  <c r="T703" i="3"/>
  <c r="U703" i="3"/>
  <c r="T704" i="3"/>
  <c r="U704" i="3"/>
  <c r="T705" i="3"/>
  <c r="U705" i="3"/>
  <c r="T706" i="3"/>
  <c r="U706" i="3"/>
  <c r="T707" i="3"/>
  <c r="U707" i="3"/>
  <c r="T708" i="3"/>
  <c r="U708" i="3"/>
  <c r="T709" i="3"/>
  <c r="U709" i="3"/>
  <c r="T710" i="3"/>
  <c r="U710" i="3"/>
  <c r="T711" i="3"/>
  <c r="U711" i="3"/>
  <c r="T712" i="3"/>
  <c r="U712" i="3"/>
  <c r="T713" i="3"/>
  <c r="U713" i="3"/>
  <c r="T714" i="3"/>
  <c r="U714" i="3"/>
  <c r="T715" i="3"/>
  <c r="U715" i="3"/>
  <c r="T716" i="3"/>
  <c r="U716" i="3"/>
  <c r="T717" i="3"/>
  <c r="U717" i="3"/>
  <c r="T718" i="3"/>
  <c r="U718" i="3"/>
  <c r="T719" i="3"/>
  <c r="U719" i="3"/>
  <c r="T720" i="3"/>
  <c r="U720" i="3"/>
  <c r="T721" i="3"/>
  <c r="U721" i="3"/>
  <c r="T722" i="3"/>
  <c r="U722" i="3"/>
  <c r="T723" i="3"/>
  <c r="U723" i="3"/>
  <c r="T724" i="3"/>
  <c r="U724" i="3"/>
  <c r="T725" i="3"/>
  <c r="U725" i="3"/>
  <c r="T726" i="3"/>
  <c r="U726" i="3"/>
  <c r="T727" i="3"/>
  <c r="U727" i="3"/>
  <c r="T728" i="3"/>
  <c r="U728" i="3"/>
  <c r="T729" i="3"/>
  <c r="U729" i="3"/>
  <c r="T730" i="3"/>
  <c r="U730" i="3"/>
  <c r="T731" i="3"/>
  <c r="U731" i="3"/>
  <c r="T732" i="3"/>
  <c r="U732" i="3"/>
  <c r="T733" i="3"/>
  <c r="U733" i="3"/>
  <c r="T734" i="3"/>
  <c r="U734" i="3"/>
  <c r="T735" i="3"/>
  <c r="U735" i="3"/>
  <c r="T736" i="3"/>
  <c r="U736" i="3"/>
  <c r="T737" i="3"/>
  <c r="U737" i="3"/>
  <c r="T738" i="3"/>
  <c r="U738" i="3"/>
  <c r="T739" i="3"/>
  <c r="U739" i="3"/>
  <c r="T740" i="3"/>
  <c r="U740" i="3"/>
  <c r="T741" i="3"/>
  <c r="U741" i="3"/>
  <c r="T742" i="3"/>
  <c r="U742" i="3"/>
  <c r="T743" i="3"/>
  <c r="U743" i="3"/>
  <c r="T744" i="3"/>
  <c r="U744" i="3"/>
  <c r="T745" i="3"/>
  <c r="U745" i="3"/>
  <c r="T746" i="3"/>
  <c r="U746" i="3"/>
  <c r="T747" i="3"/>
  <c r="U747" i="3"/>
  <c r="T748" i="3"/>
  <c r="U748" i="3"/>
  <c r="T749" i="3"/>
  <c r="U749" i="3"/>
  <c r="T750" i="3"/>
  <c r="U750" i="3"/>
  <c r="T751" i="3"/>
  <c r="U751" i="3"/>
  <c r="T752" i="3"/>
  <c r="U752" i="3"/>
  <c r="T753" i="3"/>
  <c r="U753" i="3"/>
  <c r="T754" i="3"/>
  <c r="U754" i="3"/>
  <c r="T755" i="3"/>
  <c r="U755" i="3"/>
  <c r="T756" i="3"/>
  <c r="U756" i="3"/>
  <c r="T757" i="3"/>
  <c r="U757" i="3"/>
  <c r="T758" i="3"/>
  <c r="U758" i="3"/>
  <c r="T759" i="3"/>
  <c r="U759" i="3"/>
  <c r="T760" i="3"/>
  <c r="U760" i="3"/>
  <c r="T761" i="3"/>
  <c r="U761" i="3"/>
  <c r="T762" i="3"/>
  <c r="U762" i="3"/>
  <c r="T763" i="3"/>
  <c r="U763" i="3"/>
  <c r="T764" i="3"/>
  <c r="U764" i="3"/>
  <c r="T765" i="3"/>
  <c r="U765" i="3"/>
  <c r="T766" i="3"/>
  <c r="U766" i="3"/>
  <c r="T767" i="3"/>
  <c r="U767" i="3"/>
  <c r="T768" i="3"/>
  <c r="U768" i="3"/>
  <c r="T769" i="3"/>
  <c r="U769" i="3"/>
  <c r="T770" i="3"/>
  <c r="U770" i="3"/>
  <c r="T771" i="3"/>
  <c r="U771" i="3"/>
  <c r="T772" i="3"/>
  <c r="U772" i="3"/>
  <c r="T773" i="3"/>
  <c r="U773" i="3"/>
  <c r="T774" i="3"/>
  <c r="U774" i="3"/>
  <c r="T775" i="3"/>
  <c r="U775" i="3"/>
  <c r="T776" i="3"/>
  <c r="U776" i="3"/>
  <c r="T777" i="3"/>
  <c r="U777" i="3"/>
  <c r="T778" i="3"/>
  <c r="U778" i="3"/>
  <c r="T779" i="3"/>
  <c r="U779" i="3"/>
  <c r="T780" i="3"/>
  <c r="U780" i="3"/>
  <c r="T781" i="3"/>
  <c r="U781" i="3"/>
  <c r="T782" i="3"/>
  <c r="U782" i="3"/>
  <c r="T783" i="3"/>
  <c r="U783" i="3"/>
  <c r="T784" i="3"/>
  <c r="U784" i="3"/>
  <c r="T785" i="3"/>
  <c r="U785" i="3"/>
  <c r="T786" i="3"/>
  <c r="U786" i="3"/>
  <c r="T787" i="3"/>
  <c r="U787" i="3"/>
  <c r="T788" i="3"/>
  <c r="U788" i="3"/>
  <c r="T789" i="3"/>
  <c r="U789" i="3"/>
  <c r="T790" i="3"/>
  <c r="U790" i="3"/>
  <c r="T791" i="3"/>
  <c r="U791" i="3"/>
  <c r="T792" i="3"/>
  <c r="U792" i="3"/>
  <c r="T793" i="3"/>
  <c r="U793" i="3"/>
  <c r="T794" i="3"/>
  <c r="U794" i="3"/>
  <c r="T795" i="3"/>
  <c r="U795" i="3"/>
  <c r="T796" i="3"/>
  <c r="U796" i="3"/>
  <c r="T797" i="3"/>
  <c r="U797" i="3"/>
  <c r="T798" i="3"/>
  <c r="U798" i="3"/>
  <c r="T799" i="3"/>
  <c r="U799" i="3"/>
  <c r="T800" i="3"/>
  <c r="U800" i="3"/>
  <c r="T801" i="3"/>
  <c r="U801" i="3"/>
  <c r="T802" i="3"/>
  <c r="U802" i="3"/>
  <c r="T803" i="3"/>
  <c r="U803" i="3"/>
  <c r="T804" i="3"/>
  <c r="U804" i="3"/>
  <c r="T805" i="3"/>
  <c r="U805" i="3"/>
  <c r="T806" i="3"/>
  <c r="U806" i="3"/>
  <c r="T807" i="3"/>
  <c r="U807" i="3"/>
  <c r="T808" i="3"/>
  <c r="U808" i="3"/>
  <c r="T809" i="3"/>
  <c r="U809" i="3"/>
  <c r="T810" i="3"/>
  <c r="U810" i="3"/>
  <c r="T811" i="3"/>
  <c r="U811" i="3"/>
  <c r="T812" i="3"/>
  <c r="U812" i="3"/>
  <c r="T813" i="3"/>
  <c r="U813" i="3"/>
  <c r="T814" i="3"/>
  <c r="U814" i="3"/>
  <c r="T815" i="3"/>
  <c r="U815" i="3"/>
  <c r="T816" i="3"/>
  <c r="U816" i="3"/>
  <c r="T817" i="3"/>
  <c r="U817" i="3"/>
  <c r="T818" i="3"/>
  <c r="U818" i="3"/>
  <c r="T819" i="3"/>
  <c r="U819" i="3"/>
  <c r="T820" i="3"/>
  <c r="U820" i="3"/>
  <c r="T821" i="3"/>
  <c r="U821" i="3"/>
  <c r="T822" i="3"/>
  <c r="U822" i="3"/>
  <c r="T823" i="3"/>
  <c r="U823" i="3"/>
  <c r="T824" i="3"/>
  <c r="U824" i="3"/>
  <c r="T825" i="3"/>
  <c r="U825" i="3"/>
  <c r="T826" i="3"/>
  <c r="U826" i="3"/>
  <c r="T827" i="3"/>
  <c r="U827" i="3"/>
  <c r="T828" i="3"/>
  <c r="U828" i="3"/>
  <c r="T829" i="3"/>
  <c r="U829" i="3"/>
  <c r="T830" i="3"/>
  <c r="U830" i="3"/>
  <c r="T831" i="3"/>
  <c r="U831" i="3"/>
  <c r="T832" i="3"/>
  <c r="U832" i="3"/>
  <c r="T833" i="3"/>
  <c r="U833" i="3"/>
  <c r="T834" i="3"/>
  <c r="U834" i="3"/>
  <c r="T835" i="3"/>
  <c r="U835" i="3"/>
  <c r="T836" i="3"/>
  <c r="U836" i="3"/>
  <c r="T837" i="3"/>
  <c r="U837" i="3"/>
  <c r="T838" i="3"/>
  <c r="U838" i="3"/>
  <c r="T839" i="3"/>
  <c r="U839" i="3"/>
  <c r="T840" i="3"/>
  <c r="U840" i="3"/>
  <c r="T841" i="3"/>
  <c r="U841" i="3"/>
  <c r="T842" i="3"/>
  <c r="U842" i="3"/>
  <c r="T843" i="3"/>
  <c r="U843" i="3"/>
  <c r="T844" i="3"/>
  <c r="U844" i="3"/>
  <c r="T845" i="3"/>
  <c r="U845" i="3"/>
  <c r="T846" i="3"/>
  <c r="U846" i="3"/>
  <c r="T847" i="3"/>
  <c r="U847" i="3"/>
  <c r="T848" i="3"/>
  <c r="U848" i="3"/>
  <c r="T849" i="3"/>
  <c r="U849" i="3"/>
  <c r="T850" i="3"/>
  <c r="U850" i="3"/>
  <c r="T851" i="3"/>
  <c r="U851" i="3"/>
  <c r="T852" i="3"/>
  <c r="U852" i="3"/>
  <c r="T853" i="3"/>
  <c r="U853" i="3"/>
  <c r="T854" i="3"/>
  <c r="U854" i="3"/>
  <c r="T855" i="3"/>
  <c r="U855" i="3"/>
  <c r="T856" i="3"/>
  <c r="U856" i="3"/>
  <c r="T857" i="3"/>
  <c r="U857" i="3"/>
  <c r="T858" i="3"/>
  <c r="U858" i="3"/>
  <c r="T859" i="3"/>
  <c r="U859" i="3"/>
  <c r="T860" i="3"/>
  <c r="U860" i="3"/>
  <c r="T861" i="3"/>
  <c r="U861" i="3"/>
  <c r="T862" i="3"/>
  <c r="U862" i="3"/>
  <c r="T863" i="3"/>
  <c r="U863" i="3"/>
  <c r="T864" i="3"/>
  <c r="U864" i="3"/>
  <c r="T865" i="3"/>
  <c r="U865" i="3"/>
  <c r="T866" i="3"/>
  <c r="U866" i="3"/>
  <c r="T867" i="3"/>
  <c r="U867" i="3"/>
  <c r="T868" i="3"/>
  <c r="U868" i="3"/>
  <c r="T869" i="3"/>
  <c r="U869" i="3"/>
  <c r="T870" i="3"/>
  <c r="U870" i="3"/>
  <c r="T871" i="3"/>
  <c r="U871" i="3"/>
  <c r="T872" i="3"/>
  <c r="U872" i="3"/>
  <c r="T873" i="3"/>
  <c r="U873" i="3"/>
  <c r="T874" i="3"/>
  <c r="U874" i="3"/>
  <c r="T875" i="3"/>
  <c r="U875" i="3"/>
  <c r="T876" i="3"/>
  <c r="U876" i="3"/>
  <c r="T877" i="3"/>
  <c r="U877" i="3"/>
  <c r="T878" i="3"/>
  <c r="U878" i="3"/>
  <c r="T879" i="3"/>
  <c r="U879" i="3"/>
  <c r="T880" i="3"/>
  <c r="U880" i="3"/>
  <c r="T881" i="3"/>
  <c r="U881" i="3"/>
  <c r="T882" i="3"/>
  <c r="U882" i="3"/>
  <c r="T883" i="3"/>
  <c r="U883" i="3"/>
  <c r="T884" i="3"/>
  <c r="U884" i="3"/>
  <c r="T885" i="3"/>
  <c r="U885" i="3"/>
  <c r="T886" i="3"/>
  <c r="U886" i="3"/>
  <c r="T887" i="3"/>
  <c r="U887" i="3"/>
  <c r="T888" i="3"/>
  <c r="U888" i="3"/>
  <c r="T889" i="3"/>
  <c r="U889" i="3"/>
  <c r="T890" i="3"/>
  <c r="U890" i="3"/>
  <c r="T891" i="3"/>
  <c r="U891" i="3"/>
  <c r="T892" i="3"/>
  <c r="U892" i="3"/>
  <c r="T893" i="3"/>
  <c r="U893" i="3"/>
  <c r="T894" i="3"/>
  <c r="U894" i="3"/>
  <c r="T895" i="3"/>
  <c r="U895" i="3"/>
  <c r="T896" i="3"/>
  <c r="U896" i="3"/>
  <c r="T897" i="3"/>
  <c r="U897" i="3"/>
  <c r="T898" i="3"/>
  <c r="U898" i="3"/>
  <c r="T899" i="3"/>
  <c r="U899" i="3"/>
  <c r="T900" i="3"/>
  <c r="U900" i="3"/>
  <c r="T901" i="3"/>
  <c r="U901" i="3"/>
  <c r="T902" i="3"/>
  <c r="U902" i="3"/>
  <c r="T903" i="3"/>
  <c r="U903" i="3"/>
  <c r="T904" i="3"/>
  <c r="U904" i="3"/>
  <c r="T905" i="3"/>
  <c r="U905" i="3"/>
  <c r="T906" i="3"/>
  <c r="U906" i="3"/>
  <c r="T907" i="3"/>
  <c r="U907" i="3"/>
  <c r="T908" i="3"/>
  <c r="U908" i="3"/>
  <c r="T909" i="3"/>
  <c r="U909" i="3"/>
  <c r="T910" i="3"/>
  <c r="U910" i="3"/>
  <c r="T911" i="3"/>
  <c r="U911" i="3"/>
  <c r="T912" i="3"/>
  <c r="U912" i="3"/>
  <c r="T913" i="3"/>
  <c r="U913" i="3"/>
  <c r="T914" i="3"/>
  <c r="U914" i="3"/>
  <c r="T915" i="3"/>
  <c r="U915" i="3"/>
  <c r="T916" i="3"/>
  <c r="U916" i="3"/>
  <c r="T917" i="3"/>
  <c r="U917" i="3"/>
  <c r="T918" i="3"/>
  <c r="U918" i="3"/>
  <c r="T919" i="3"/>
  <c r="U919" i="3"/>
  <c r="T920" i="3"/>
  <c r="U920" i="3"/>
  <c r="T921" i="3"/>
  <c r="U921" i="3"/>
  <c r="T922" i="3"/>
  <c r="U922" i="3"/>
  <c r="T923" i="3"/>
  <c r="U923" i="3"/>
  <c r="T924" i="3"/>
  <c r="U924" i="3"/>
  <c r="T925" i="3"/>
  <c r="U925" i="3"/>
  <c r="T926" i="3"/>
  <c r="U926" i="3"/>
  <c r="T927" i="3"/>
  <c r="U927" i="3"/>
  <c r="T928" i="3"/>
  <c r="U928" i="3"/>
  <c r="T929" i="3"/>
  <c r="U929" i="3"/>
  <c r="T930" i="3"/>
  <c r="U930" i="3"/>
  <c r="T931" i="3"/>
  <c r="U931" i="3"/>
  <c r="T932" i="3"/>
  <c r="U932" i="3"/>
  <c r="T933" i="3"/>
  <c r="U933" i="3"/>
  <c r="T934" i="3"/>
  <c r="U934" i="3"/>
  <c r="T935" i="3"/>
  <c r="U935" i="3"/>
  <c r="T936" i="3"/>
  <c r="U936" i="3"/>
  <c r="T937" i="3"/>
  <c r="U937" i="3"/>
  <c r="T938" i="3"/>
  <c r="U938" i="3"/>
  <c r="T939" i="3"/>
  <c r="U939" i="3"/>
  <c r="T940" i="3"/>
  <c r="U940" i="3"/>
  <c r="T941" i="3"/>
  <c r="U941" i="3"/>
  <c r="T942" i="3"/>
  <c r="U942" i="3"/>
  <c r="T943" i="3"/>
  <c r="U943" i="3"/>
  <c r="T944" i="3"/>
  <c r="U944" i="3"/>
  <c r="T945" i="3"/>
  <c r="U945" i="3"/>
  <c r="T946" i="3"/>
  <c r="U946" i="3"/>
  <c r="T947" i="3"/>
  <c r="U947" i="3"/>
  <c r="T948" i="3"/>
  <c r="U948" i="3"/>
  <c r="T949" i="3"/>
  <c r="U949" i="3"/>
  <c r="T950" i="3"/>
  <c r="U950" i="3"/>
  <c r="T951" i="3"/>
  <c r="U951" i="3"/>
  <c r="T952" i="3"/>
  <c r="U952" i="3"/>
  <c r="T953" i="3"/>
  <c r="U953" i="3"/>
  <c r="T954" i="3"/>
  <c r="U954" i="3"/>
  <c r="T955" i="3"/>
  <c r="U955" i="3"/>
  <c r="T956" i="3"/>
  <c r="U956" i="3"/>
  <c r="T957" i="3"/>
  <c r="U957" i="3"/>
  <c r="T958" i="3"/>
  <c r="U958" i="3"/>
  <c r="T959" i="3"/>
  <c r="U959" i="3"/>
  <c r="T960" i="3"/>
  <c r="U960" i="3"/>
  <c r="T961" i="3"/>
  <c r="U961" i="3"/>
  <c r="T962" i="3"/>
  <c r="U962" i="3"/>
  <c r="T963" i="3"/>
  <c r="U963" i="3"/>
  <c r="T964" i="3"/>
  <c r="U964" i="3"/>
  <c r="T965" i="3"/>
  <c r="U965" i="3"/>
  <c r="T966" i="3"/>
  <c r="U966" i="3"/>
  <c r="T967" i="3"/>
  <c r="U967" i="3"/>
  <c r="T968" i="3"/>
  <c r="U968" i="3"/>
  <c r="T969" i="3"/>
  <c r="U969" i="3"/>
  <c r="T970" i="3"/>
  <c r="U970" i="3"/>
  <c r="T971" i="3"/>
  <c r="U971" i="3"/>
  <c r="T972" i="3"/>
  <c r="U972" i="3"/>
  <c r="T973" i="3"/>
  <c r="U973" i="3"/>
  <c r="T974" i="3"/>
  <c r="U974" i="3"/>
  <c r="T975" i="3"/>
  <c r="U975" i="3"/>
  <c r="T976" i="3"/>
  <c r="U976" i="3"/>
  <c r="T977" i="3"/>
  <c r="U977" i="3"/>
  <c r="T978" i="3"/>
  <c r="U978" i="3"/>
  <c r="T979" i="3"/>
  <c r="U979" i="3"/>
  <c r="T980" i="3"/>
  <c r="U980" i="3"/>
  <c r="T981" i="3"/>
  <c r="U981" i="3"/>
  <c r="T982" i="3"/>
  <c r="U982" i="3"/>
  <c r="T983" i="3"/>
  <c r="U983" i="3"/>
  <c r="T984" i="3"/>
  <c r="U984" i="3"/>
  <c r="T985" i="3"/>
  <c r="U985" i="3"/>
  <c r="T986" i="3"/>
  <c r="U986" i="3"/>
  <c r="T987" i="3"/>
  <c r="U987" i="3"/>
  <c r="T988" i="3"/>
  <c r="U988" i="3"/>
  <c r="T989" i="3"/>
  <c r="U989" i="3"/>
  <c r="T990" i="3"/>
  <c r="U990" i="3"/>
  <c r="T991" i="3"/>
  <c r="U991" i="3"/>
  <c r="T992" i="3"/>
  <c r="U992" i="3"/>
  <c r="T993" i="3"/>
  <c r="U993" i="3"/>
  <c r="T994" i="3"/>
  <c r="U994" i="3"/>
  <c r="T995" i="3"/>
  <c r="U995" i="3"/>
  <c r="T996" i="3"/>
  <c r="U996" i="3"/>
  <c r="T997" i="3"/>
  <c r="U997" i="3"/>
  <c r="T998" i="3"/>
  <c r="U998" i="3"/>
  <c r="T999" i="3"/>
  <c r="U999" i="3"/>
  <c r="T1000" i="3"/>
  <c r="U1000" i="3"/>
  <c r="T1001" i="3"/>
  <c r="U1001" i="3"/>
  <c r="T1002" i="3"/>
  <c r="U1002" i="3"/>
  <c r="T1003" i="3"/>
  <c r="U1003" i="3"/>
  <c r="T1004" i="3"/>
  <c r="U1004" i="3"/>
  <c r="T1005" i="3"/>
  <c r="U1005" i="3"/>
  <c r="T1006" i="3"/>
  <c r="U1006" i="3"/>
  <c r="T1007" i="3"/>
  <c r="U1007" i="3"/>
  <c r="T1008" i="3"/>
  <c r="U1008" i="3"/>
  <c r="T1009" i="3"/>
  <c r="U1009" i="3"/>
  <c r="T1010" i="3"/>
  <c r="U1010" i="3"/>
  <c r="T1011" i="3"/>
  <c r="U1011" i="3"/>
  <c r="T1012" i="3"/>
  <c r="U1012" i="3"/>
  <c r="T1013" i="3"/>
  <c r="U1013" i="3"/>
  <c r="T1014" i="3"/>
  <c r="U1014" i="3"/>
  <c r="T1015" i="3"/>
  <c r="U1015" i="3"/>
  <c r="T1016" i="3"/>
  <c r="U1016" i="3"/>
  <c r="T1017" i="3"/>
  <c r="U1017" i="3"/>
  <c r="T1018" i="3"/>
  <c r="U1018" i="3"/>
  <c r="T1019" i="3"/>
  <c r="U1019" i="3"/>
  <c r="T1020" i="3"/>
  <c r="U1020" i="3"/>
  <c r="T1021" i="3"/>
  <c r="U1021" i="3"/>
  <c r="T1022" i="3"/>
  <c r="U1022" i="3"/>
  <c r="T1023" i="3"/>
  <c r="U1023" i="3"/>
  <c r="T1024" i="3"/>
  <c r="U1024" i="3"/>
  <c r="T1025" i="3"/>
  <c r="U1025" i="3"/>
  <c r="T1026" i="3"/>
  <c r="U1026" i="3"/>
  <c r="T1027" i="3"/>
  <c r="U1027" i="3"/>
  <c r="T1028" i="3"/>
  <c r="U1028" i="3"/>
  <c r="T1029" i="3"/>
  <c r="U1029" i="3"/>
  <c r="T1030" i="3"/>
  <c r="U1030" i="3"/>
  <c r="T1031" i="3"/>
  <c r="U1031" i="3"/>
  <c r="T1032" i="3"/>
  <c r="U1032" i="3"/>
  <c r="T1033" i="3"/>
  <c r="U1033" i="3"/>
  <c r="T1034" i="3"/>
  <c r="U1034" i="3"/>
  <c r="T1035" i="3"/>
  <c r="U1035" i="3"/>
  <c r="T1036" i="3"/>
  <c r="U1036" i="3"/>
  <c r="T1037" i="3"/>
  <c r="U1037" i="3"/>
  <c r="T1038" i="3"/>
  <c r="U1038" i="3"/>
  <c r="T1039" i="3"/>
  <c r="U1039" i="3"/>
  <c r="T1040" i="3"/>
  <c r="U1040" i="3"/>
  <c r="T1041" i="3"/>
  <c r="U1041" i="3"/>
  <c r="T1042" i="3"/>
  <c r="U1042" i="3"/>
  <c r="T1043" i="3"/>
  <c r="U1043" i="3"/>
  <c r="T1044" i="3"/>
  <c r="U1044" i="3"/>
  <c r="T1045" i="3"/>
  <c r="U1045" i="3"/>
  <c r="T1046" i="3"/>
  <c r="U1046" i="3"/>
  <c r="T1047" i="3"/>
  <c r="U1047" i="3"/>
  <c r="T1048" i="3"/>
  <c r="U1048" i="3"/>
  <c r="T1049" i="3"/>
  <c r="U1049" i="3"/>
  <c r="T1050" i="3"/>
  <c r="U1050" i="3"/>
  <c r="T1051" i="3"/>
  <c r="U1051" i="3"/>
  <c r="T1052" i="3"/>
  <c r="U1052" i="3"/>
  <c r="T1053" i="3"/>
  <c r="U1053" i="3"/>
  <c r="T1054" i="3"/>
  <c r="U1054" i="3"/>
  <c r="T1055" i="3"/>
  <c r="U1055" i="3"/>
  <c r="T1056" i="3"/>
  <c r="U1056" i="3"/>
  <c r="T1057" i="3"/>
  <c r="U1057" i="3"/>
  <c r="T1058" i="3"/>
  <c r="U1058" i="3"/>
  <c r="T1059" i="3"/>
  <c r="U1059" i="3"/>
  <c r="T1060" i="3"/>
  <c r="U1060" i="3"/>
  <c r="T1061" i="3"/>
  <c r="U1061" i="3"/>
  <c r="T1062" i="3"/>
  <c r="U1062" i="3"/>
  <c r="T1063" i="3"/>
  <c r="U1063" i="3"/>
  <c r="T1064" i="3"/>
  <c r="U1064" i="3"/>
  <c r="T1065" i="3"/>
  <c r="U1065" i="3"/>
  <c r="T1066" i="3"/>
  <c r="U1066" i="3"/>
  <c r="T1067" i="3"/>
  <c r="U1067" i="3"/>
  <c r="T1068" i="3"/>
  <c r="U1068" i="3"/>
  <c r="T1069" i="3"/>
  <c r="U1069" i="3"/>
  <c r="T1070" i="3"/>
  <c r="U1070" i="3"/>
  <c r="T1071" i="3"/>
  <c r="U1071" i="3"/>
  <c r="T1072" i="3"/>
  <c r="U1072" i="3"/>
  <c r="T1073" i="3"/>
  <c r="U1073" i="3"/>
  <c r="T1074" i="3"/>
  <c r="U1074" i="3"/>
  <c r="T1075" i="3"/>
  <c r="U1075" i="3"/>
  <c r="T1076" i="3"/>
  <c r="U1076" i="3"/>
  <c r="T1077" i="3"/>
  <c r="U1077" i="3"/>
  <c r="T1078" i="3"/>
  <c r="U1078" i="3"/>
  <c r="T1079" i="3"/>
  <c r="U1079" i="3"/>
  <c r="T1080" i="3"/>
  <c r="U1080" i="3"/>
  <c r="T1081" i="3"/>
  <c r="U1081" i="3"/>
  <c r="T1082" i="3"/>
  <c r="U1082" i="3"/>
  <c r="T1083" i="3"/>
  <c r="U1083" i="3"/>
  <c r="T1084" i="3"/>
  <c r="U1084" i="3"/>
  <c r="T1085" i="3"/>
  <c r="U1085" i="3"/>
  <c r="T1086" i="3"/>
  <c r="U1086" i="3"/>
  <c r="T1087" i="3"/>
  <c r="U1087" i="3"/>
  <c r="T1088" i="3"/>
  <c r="U1088" i="3"/>
  <c r="T1089" i="3"/>
  <c r="U1089" i="3"/>
  <c r="T1090" i="3"/>
  <c r="U1090" i="3"/>
  <c r="T1091" i="3"/>
  <c r="U1091" i="3"/>
  <c r="T1092" i="3"/>
  <c r="U1092" i="3"/>
  <c r="T1093" i="3"/>
  <c r="U1093" i="3"/>
  <c r="T1094" i="3"/>
  <c r="U1094" i="3"/>
  <c r="T1095" i="3"/>
  <c r="U1095" i="3"/>
  <c r="T1096" i="3"/>
  <c r="U1096" i="3"/>
  <c r="T1097" i="3"/>
  <c r="U1097" i="3"/>
  <c r="T1098" i="3"/>
  <c r="U1098" i="3"/>
  <c r="T1099" i="3"/>
  <c r="U1099" i="3"/>
  <c r="T1100" i="3"/>
  <c r="U1100" i="3"/>
  <c r="T1101" i="3"/>
  <c r="U1101" i="3"/>
  <c r="T1102" i="3"/>
  <c r="U1102" i="3"/>
  <c r="T1103" i="3"/>
  <c r="U1103" i="3"/>
  <c r="T1104" i="3"/>
  <c r="U1104" i="3"/>
  <c r="T1105" i="3"/>
  <c r="U1105" i="3"/>
  <c r="T1106" i="3"/>
  <c r="U1106" i="3"/>
  <c r="T1107" i="3"/>
  <c r="U1107" i="3"/>
  <c r="T1108" i="3"/>
  <c r="U1108" i="3"/>
  <c r="T1109" i="3"/>
  <c r="U1109" i="3"/>
  <c r="T1110" i="3"/>
  <c r="U1110" i="3"/>
  <c r="T1111" i="3"/>
  <c r="U1111" i="3"/>
  <c r="T1112" i="3"/>
  <c r="U1112" i="3"/>
  <c r="T1113" i="3"/>
  <c r="U1113" i="3"/>
  <c r="T1114" i="3"/>
  <c r="U1114" i="3"/>
  <c r="T1115" i="3"/>
  <c r="U1115" i="3"/>
  <c r="T1116" i="3"/>
  <c r="U1116" i="3"/>
  <c r="T1117" i="3"/>
  <c r="U1117" i="3"/>
  <c r="T1118" i="3"/>
  <c r="U1118" i="3"/>
  <c r="T1119" i="3"/>
  <c r="U1119" i="3"/>
  <c r="T1120" i="3"/>
  <c r="U1120" i="3"/>
  <c r="T1121" i="3"/>
  <c r="U1121" i="3"/>
  <c r="T1122" i="3"/>
  <c r="U1122" i="3"/>
  <c r="T1123" i="3"/>
  <c r="U1123" i="3"/>
  <c r="T1124" i="3"/>
  <c r="U1124" i="3"/>
  <c r="T1125" i="3"/>
  <c r="U1125" i="3"/>
  <c r="T1126" i="3"/>
  <c r="U1126" i="3"/>
  <c r="T1127" i="3"/>
  <c r="U1127" i="3"/>
  <c r="T1128" i="3"/>
  <c r="U1128" i="3"/>
  <c r="T1129" i="3"/>
  <c r="U1129" i="3"/>
  <c r="T1130" i="3"/>
  <c r="U1130" i="3"/>
  <c r="T1131" i="3"/>
  <c r="U1131" i="3"/>
  <c r="T1132" i="3"/>
  <c r="U1132" i="3"/>
  <c r="T1133" i="3"/>
  <c r="U1133" i="3"/>
  <c r="T1134" i="3"/>
  <c r="U1134" i="3"/>
  <c r="T1135" i="3"/>
  <c r="U1135" i="3"/>
  <c r="T1136" i="3"/>
  <c r="U1136" i="3"/>
  <c r="T1137" i="3"/>
  <c r="U1137" i="3"/>
  <c r="T1138" i="3"/>
  <c r="U1138" i="3"/>
  <c r="T1139" i="3"/>
  <c r="U1139" i="3"/>
  <c r="T1140" i="3"/>
  <c r="U1140" i="3"/>
  <c r="T1141" i="3"/>
  <c r="U1141" i="3"/>
  <c r="T1142" i="3"/>
  <c r="U1142" i="3"/>
  <c r="T1143" i="3"/>
  <c r="U1143" i="3"/>
  <c r="T1144" i="3"/>
  <c r="U1144" i="3"/>
  <c r="T1145" i="3"/>
  <c r="U1145" i="3"/>
  <c r="T1146" i="3"/>
  <c r="U1146" i="3"/>
  <c r="T1147" i="3"/>
  <c r="U1147" i="3"/>
  <c r="T1148" i="3"/>
  <c r="U1148" i="3"/>
  <c r="T1149" i="3"/>
  <c r="U1149" i="3"/>
  <c r="T1150" i="3"/>
  <c r="U1150" i="3"/>
  <c r="T1151" i="3"/>
  <c r="U1151" i="3"/>
  <c r="T1152" i="3"/>
  <c r="U1152" i="3"/>
  <c r="T1153" i="3"/>
  <c r="U1153" i="3"/>
  <c r="T1154" i="3"/>
  <c r="U1154" i="3"/>
  <c r="T1155" i="3"/>
  <c r="U1155" i="3"/>
  <c r="T1156" i="3"/>
  <c r="U1156" i="3"/>
  <c r="T1157" i="3"/>
  <c r="U1157" i="3"/>
  <c r="T1158" i="3"/>
  <c r="U1158" i="3"/>
  <c r="T1159" i="3"/>
  <c r="U1159" i="3"/>
  <c r="T1160" i="3"/>
  <c r="U1160" i="3"/>
  <c r="T1161" i="3"/>
  <c r="U1161" i="3"/>
  <c r="T1162" i="3"/>
  <c r="U1162" i="3"/>
  <c r="T1163" i="3"/>
  <c r="U1163" i="3"/>
  <c r="T1164" i="3"/>
  <c r="U1164" i="3"/>
  <c r="T1165" i="3"/>
  <c r="U1165" i="3"/>
  <c r="T1166" i="3"/>
  <c r="U1166" i="3"/>
  <c r="T1167" i="3"/>
  <c r="U1167" i="3"/>
  <c r="T1168" i="3"/>
  <c r="U1168" i="3"/>
  <c r="T1169" i="3"/>
  <c r="U1169" i="3"/>
  <c r="T1170" i="3"/>
  <c r="U1170" i="3"/>
  <c r="T1171" i="3"/>
  <c r="U1171" i="3"/>
  <c r="T1172" i="3"/>
  <c r="U1172" i="3"/>
  <c r="T1173" i="3"/>
  <c r="U1173" i="3"/>
  <c r="T1174" i="3"/>
  <c r="U1174" i="3"/>
  <c r="T1175" i="3"/>
  <c r="U1175" i="3"/>
  <c r="T1176" i="3"/>
  <c r="U1176" i="3"/>
  <c r="T1177" i="3"/>
  <c r="U1177" i="3"/>
  <c r="T1178" i="3"/>
  <c r="U1178" i="3"/>
  <c r="T1179" i="3"/>
  <c r="U1179" i="3"/>
  <c r="T1180" i="3"/>
  <c r="U1180" i="3"/>
  <c r="T1181" i="3"/>
  <c r="U1181" i="3"/>
  <c r="T1182" i="3"/>
  <c r="U1182" i="3"/>
  <c r="T1183" i="3"/>
  <c r="U1183" i="3"/>
  <c r="T1184" i="3"/>
  <c r="U1184" i="3"/>
  <c r="T1185" i="3"/>
  <c r="U1185" i="3"/>
  <c r="T1186" i="3"/>
  <c r="U1186" i="3"/>
  <c r="T1187" i="3"/>
  <c r="U1187" i="3"/>
  <c r="T1188" i="3"/>
  <c r="U1188" i="3"/>
  <c r="T1189" i="3"/>
  <c r="U1189" i="3"/>
  <c r="T1190" i="3"/>
  <c r="U1190" i="3"/>
  <c r="T1191" i="3"/>
  <c r="U1191" i="3"/>
  <c r="T1192" i="3"/>
  <c r="U1192" i="3"/>
  <c r="T1193" i="3"/>
  <c r="U1193" i="3"/>
  <c r="T1194" i="3"/>
  <c r="U1194" i="3"/>
  <c r="T1195" i="3"/>
  <c r="U1195" i="3"/>
  <c r="T1196" i="3"/>
  <c r="U1196" i="3"/>
  <c r="T1197" i="3"/>
  <c r="U1197" i="3"/>
  <c r="T1198" i="3"/>
  <c r="U1198" i="3"/>
  <c r="T1199" i="3"/>
  <c r="U1199" i="3"/>
  <c r="T1200" i="3"/>
  <c r="U1200" i="3"/>
  <c r="T1201" i="3"/>
  <c r="U1201" i="3"/>
  <c r="T1202" i="3"/>
  <c r="U1202" i="3"/>
  <c r="T1203" i="3"/>
  <c r="U1203" i="3"/>
  <c r="T1204" i="3"/>
  <c r="U1204" i="3"/>
  <c r="T1205" i="3"/>
  <c r="U1205" i="3"/>
  <c r="T1206" i="3"/>
  <c r="U1206" i="3"/>
  <c r="T1207" i="3"/>
  <c r="U1207" i="3"/>
  <c r="T1208" i="3"/>
  <c r="U1208" i="3"/>
  <c r="T1209" i="3"/>
  <c r="U1209" i="3"/>
  <c r="T1210" i="3"/>
  <c r="U1210" i="3"/>
  <c r="T1211" i="3"/>
  <c r="U1211" i="3"/>
  <c r="T1212" i="3"/>
  <c r="U1212" i="3"/>
  <c r="T1213" i="3"/>
  <c r="U1213" i="3"/>
  <c r="T1214" i="3"/>
  <c r="U1214" i="3"/>
  <c r="T1215" i="3"/>
  <c r="U1215" i="3"/>
  <c r="T1216" i="3"/>
  <c r="U1216" i="3"/>
  <c r="T1217" i="3"/>
  <c r="U1217" i="3"/>
  <c r="T1218" i="3"/>
  <c r="U1218" i="3"/>
  <c r="T1219" i="3"/>
  <c r="U1219" i="3"/>
  <c r="T1220" i="3"/>
  <c r="U1220" i="3"/>
  <c r="T1221" i="3"/>
  <c r="U1221" i="3"/>
  <c r="T1222" i="3"/>
  <c r="U1222" i="3"/>
  <c r="T1223" i="3"/>
  <c r="U1223" i="3"/>
  <c r="T1224" i="3"/>
  <c r="U1224" i="3"/>
  <c r="T1225" i="3"/>
  <c r="U1225" i="3"/>
  <c r="U6" i="3"/>
  <c r="T6" i="3"/>
  <c r="E2" i="3"/>
  <c r="E2" i="1"/>
  <c r="F2" i="2"/>
  <c r="X3" i="3" l="1"/>
  <c r="AC2" i="3"/>
  <c r="AC3" i="3" s="1"/>
  <c r="AE2" i="3"/>
  <c r="AE3" i="3" s="1"/>
  <c r="U2" i="3"/>
  <c r="U3" i="3" s="1"/>
  <c r="T2" i="3"/>
  <c r="T3" i="3" l="1"/>
  <c r="AD2" i="3"/>
  <c r="AD3" i="3" s="1"/>
  <c r="AB2" i="3"/>
  <c r="AB3" i="3" s="1"/>
</calcChain>
</file>

<file path=xl/connections.xml><?xml version="1.0" encoding="utf-8"?>
<connections xmlns="http://schemas.openxmlformats.org/spreadsheetml/2006/main">
  <connection id="1" name="Connection" type="4" refreshedVersion="4" background="1">
    <webPr sourceData="1" parsePre="1" consecutive="1" xl2000="1" url="https://www.google.ca/finance/option_chain?q=NASDAQ%3AMSFT#"/>
  </connection>
</connections>
</file>

<file path=xl/sharedStrings.xml><?xml version="1.0" encoding="utf-8"?>
<sst xmlns="http://schemas.openxmlformats.org/spreadsheetml/2006/main" count="2379" uniqueCount="1366">
  <si>
    <t>Symbol</t>
  </si>
  <si>
    <t>Last</t>
  </si>
  <si>
    <t>Change</t>
  </si>
  <si>
    <t>Bid</t>
  </si>
  <si>
    <t>Ask</t>
  </si>
  <si>
    <t>Volume</t>
  </si>
  <si>
    <t>Open Int</t>
  </si>
  <si>
    <t>Strike</t>
  </si>
  <si>
    <t>Spot</t>
  </si>
  <si>
    <t>Calls</t>
  </si>
  <si>
    <t>Puts</t>
  </si>
  <si>
    <t>-</t>
  </si>
  <si>
    <t>CBOE</t>
  </si>
  <si>
    <t>calls</t>
  </si>
  <si>
    <t>puts</t>
  </si>
  <si>
    <t>NYSEARCA:SPY</t>
  </si>
  <si>
    <t>SPY131221C00020000</t>
  </si>
  <si>
    <t>SPY131221P00020000</t>
  </si>
  <si>
    <t>SPY131221C00025000</t>
  </si>
  <si>
    <t>SPY131221P00025000</t>
  </si>
  <si>
    <t>SPY131221C00030000</t>
  </si>
  <si>
    <t>SPY131221P00030000</t>
  </si>
  <si>
    <t>SPY131221C00035000</t>
  </si>
  <si>
    <t>SPY131221P00035000</t>
  </si>
  <si>
    <t>SPY131221C00040000</t>
  </si>
  <si>
    <t>SPY131221P00040000</t>
  </si>
  <si>
    <t>SPY131221C00045000</t>
  </si>
  <si>
    <t>SPY131221P00045000</t>
  </si>
  <si>
    <t>SPY131221C00050000</t>
  </si>
  <si>
    <t>SPY131221P00050000</t>
  </si>
  <si>
    <t>SPY131221C00055000</t>
  </si>
  <si>
    <t>SPY131221P00055000</t>
  </si>
  <si>
    <t>SPY131221C00060000</t>
  </si>
  <si>
    <t>SPY131221P00060000</t>
  </si>
  <si>
    <t>SPY131221C00065000</t>
  </si>
  <si>
    <t>SPY131221P00065000</t>
  </si>
  <si>
    <t>SPY131221C00070000</t>
  </si>
  <si>
    <t>SPY131221P00070000</t>
  </si>
  <si>
    <t>SPY131221C00075000</t>
  </si>
  <si>
    <t>SPY131221P00075000</t>
  </si>
  <si>
    <t>SPY131221C00080000</t>
  </si>
  <si>
    <t>SPY131221P00080000</t>
  </si>
  <si>
    <t>SPY131221C00085000</t>
  </si>
  <si>
    <t>SPY131221P00085000</t>
  </si>
  <si>
    <t>SPY131221C00090000</t>
  </si>
  <si>
    <t>SPY131221P00090000</t>
  </si>
  <si>
    <t>SPY131221C00095000</t>
  </si>
  <si>
    <t>SPY131221P00095000</t>
  </si>
  <si>
    <t>SPY131221C00100000</t>
  </si>
  <si>
    <t>SPY131221P00100000</t>
  </si>
  <si>
    <t>SPY131221C00105000</t>
  </si>
  <si>
    <t>SPY131221P00105000</t>
  </si>
  <si>
    <t>SPY131221C00110000</t>
  </si>
  <si>
    <t>SPY131221P00110000</t>
  </si>
  <si>
    <t>SPY131221C00115000</t>
  </si>
  <si>
    <t>SPY131221P00115000</t>
  </si>
  <si>
    <t>SPY131221C00120000</t>
  </si>
  <si>
    <t>SPY131221P00120000</t>
  </si>
  <si>
    <t>SPY131221C00125000</t>
  </si>
  <si>
    <t>SPY131221P00125000</t>
  </si>
  <si>
    <t>SPY131221C00130000</t>
  </si>
  <si>
    <t>SPY131221P00130000</t>
  </si>
  <si>
    <t>SPY131221C00135000</t>
  </si>
  <si>
    <t>SPY131221P00135000</t>
  </si>
  <si>
    <t>SPY131221C00140000</t>
  </si>
  <si>
    <t>SPY131221P00140000</t>
  </si>
  <si>
    <t>SPY131221C00145000</t>
  </si>
  <si>
    <t>SPY131221P00145000</t>
  </si>
  <si>
    <t>SPY131221C00150000</t>
  </si>
  <si>
    <t>SPY131221P00150000</t>
  </si>
  <si>
    <t>SPY131221C00155000</t>
  </si>
  <si>
    <t>SPY131221P00155000</t>
  </si>
  <si>
    <t>SPY131221C00160000</t>
  </si>
  <si>
    <t>SPY131221P00160000</t>
  </si>
  <si>
    <t>SPY131221C00165000</t>
  </si>
  <si>
    <t>SPY131221P00165000</t>
  </si>
  <si>
    <t>SPY131221C00170000</t>
  </si>
  <si>
    <t>SPY131221P00170000</t>
  </si>
  <si>
    <t>SPY131221C00175000</t>
  </si>
  <si>
    <t>SPY131221P00175000</t>
  </si>
  <si>
    <t>SPY131221C00180000</t>
  </si>
  <si>
    <t>SPY131221P00180000</t>
  </si>
  <si>
    <t>SPY131221C00185000</t>
  </si>
  <si>
    <t>SPY131221P00185000</t>
  </si>
  <si>
    <t>SPY131221C00190000</t>
  </si>
  <si>
    <t>SPY131221P00190000</t>
  </si>
  <si>
    <t>SPY131221C00195000</t>
  </si>
  <si>
    <t>SPY131221P00195000</t>
  </si>
  <si>
    <t>SPY131221C00200000</t>
  </si>
  <si>
    <t>SPY131221P00200000</t>
  </si>
  <si>
    <t>SPY131221C00205000</t>
  </si>
  <si>
    <t>SPY131221P00205000</t>
  </si>
  <si>
    <t>SPY131221C00210000</t>
  </si>
  <si>
    <t>SPY131221P00210000</t>
  </si>
  <si>
    <t>SPY140118C00020000</t>
  </si>
  <si>
    <t>SPY140118P00020000</t>
  </si>
  <si>
    <t>SPY140118C00025000</t>
  </si>
  <si>
    <t>SPY140118P00025000</t>
  </si>
  <si>
    <t>SPY140118C00030000</t>
  </si>
  <si>
    <t>SPY140118P00030000</t>
  </si>
  <si>
    <t>SPY140118C00035000</t>
  </si>
  <si>
    <t>SPY140118P00035000</t>
  </si>
  <si>
    <t>SPY140118C00040000</t>
  </si>
  <si>
    <t>SPY140118P00040000</t>
  </si>
  <si>
    <t>SPY140118C00045000</t>
  </si>
  <si>
    <t>SPY140118P00045000</t>
  </si>
  <si>
    <t>SPY140118C00050000</t>
  </si>
  <si>
    <t>SPY140118P00050000</t>
  </si>
  <si>
    <t>SPY140118C00055000</t>
  </si>
  <si>
    <t>SPY140118P00055000</t>
  </si>
  <si>
    <t>SPY140118C00060000</t>
  </si>
  <si>
    <t>SPY140118P00060000</t>
  </si>
  <si>
    <t>SPY140118C00065000</t>
  </si>
  <si>
    <t>SPY140118P00065000</t>
  </si>
  <si>
    <t>SPY140118C00070000</t>
  </si>
  <si>
    <t>SPY140118P00070000</t>
  </si>
  <si>
    <t>SPY140118C00075000</t>
  </si>
  <si>
    <t>SPY140118P00075000</t>
  </si>
  <si>
    <t>SPY140118C00080000</t>
  </si>
  <si>
    <t>SPY140118P00080000</t>
  </si>
  <si>
    <t>SPY140118C00085000</t>
  </si>
  <si>
    <t>SPY140118P00085000</t>
  </si>
  <si>
    <t>SPY140118C00090000</t>
  </si>
  <si>
    <t>SPY140118P00090000</t>
  </si>
  <si>
    <t>SPY140118C00095000</t>
  </si>
  <si>
    <t>SPY140118P00095000</t>
  </si>
  <si>
    <t>SPY140118C00100000</t>
  </si>
  <si>
    <t>SPY140118P00100000</t>
  </si>
  <si>
    <t>SPY140118C00105000</t>
  </si>
  <si>
    <t>SPY140118P00105000</t>
  </si>
  <si>
    <t>SPY140118C00110000</t>
  </si>
  <si>
    <t>SPY140118P00110000</t>
  </si>
  <si>
    <t>SPY140118C00111000</t>
  </si>
  <si>
    <t>SPY140118P00111000</t>
  </si>
  <si>
    <t>SPY140118C00112000</t>
  </si>
  <si>
    <t>SPY140118P00112000</t>
  </si>
  <si>
    <t>SPY140118C00113000</t>
  </si>
  <si>
    <t>SPY140118P00113000</t>
  </si>
  <si>
    <t>SPY140118C00114000</t>
  </si>
  <si>
    <t>SPY140118P00114000</t>
  </si>
  <si>
    <t>SPY140118C00115000</t>
  </si>
  <si>
    <t>SPY140118P00115000</t>
  </si>
  <si>
    <t>SPY140118C00116000</t>
  </si>
  <si>
    <t>SPY140118P00116000</t>
  </si>
  <si>
    <t>SPY140118C00117000</t>
  </si>
  <si>
    <t>SPY140118P00117000</t>
  </si>
  <si>
    <t>SPY140118C00118000</t>
  </si>
  <si>
    <t>SPY140118P00118000</t>
  </si>
  <si>
    <t>SPY140118C00119000</t>
  </si>
  <si>
    <t>SPY140118P00119000</t>
  </si>
  <si>
    <t>SPY140118C00120000</t>
  </si>
  <si>
    <t>SPY140118P00120000</t>
  </si>
  <si>
    <t>SPY140118C00121000</t>
  </si>
  <si>
    <t>SPY140118P00121000</t>
  </si>
  <si>
    <t>SPY140118C00122000</t>
  </si>
  <si>
    <t>SPY140118P00122000</t>
  </si>
  <si>
    <t>SPY140118C00123000</t>
  </si>
  <si>
    <t>SPY140118P00123000</t>
  </si>
  <si>
    <t>SPY140118C00124000</t>
  </si>
  <si>
    <t>SPY140118P00124000</t>
  </si>
  <si>
    <t>SPY140118C00125000</t>
  </si>
  <si>
    <t>SPY140118P00125000</t>
  </si>
  <si>
    <t>SPY140118C00126000</t>
  </si>
  <si>
    <t>SPY140118P00126000</t>
  </si>
  <si>
    <t>SPY140118C00127000</t>
  </si>
  <si>
    <t>SPY140118P00127000</t>
  </si>
  <si>
    <t>SPY140118C00128000</t>
  </si>
  <si>
    <t>SPY140118P00128000</t>
  </si>
  <si>
    <t>SPY140118C00129000</t>
  </si>
  <si>
    <t>SPY140118P00129000</t>
  </si>
  <si>
    <t>SPY140118C00130000</t>
  </si>
  <si>
    <t>SPY140118P00130000</t>
  </si>
  <si>
    <t>SPY140118C00131000</t>
  </si>
  <si>
    <t>SPY140118P00131000</t>
  </si>
  <si>
    <t>SPY140118C00132000</t>
  </si>
  <si>
    <t>SPY140118P00132000</t>
  </si>
  <si>
    <t>SPY140118C00133000</t>
  </si>
  <si>
    <t>SPY140118P00133000</t>
  </si>
  <si>
    <t>SPY140118C00134000</t>
  </si>
  <si>
    <t>SPY140118P00134000</t>
  </si>
  <si>
    <t>SPY140118C00135000</t>
  </si>
  <si>
    <t>SPY140118P00135000</t>
  </si>
  <si>
    <t>SPY140118C00136000</t>
  </si>
  <si>
    <t>SPY140118P00136000</t>
  </si>
  <si>
    <t>SPY140118C00137000</t>
  </si>
  <si>
    <t>SPY140118P00137000</t>
  </si>
  <si>
    <t>SPY140118C00138000</t>
  </si>
  <si>
    <t>SPY140118P00138000</t>
  </si>
  <si>
    <t>SPY140118C00139000</t>
  </si>
  <si>
    <t>SPY140118P00139000</t>
  </si>
  <si>
    <t>SPY140118C00140000</t>
  </si>
  <si>
    <t>SPY140118P00140000</t>
  </si>
  <si>
    <t>SPY140118C00141000</t>
  </si>
  <si>
    <t>SPY140118P00141000</t>
  </si>
  <si>
    <t>SPY140118C00142000</t>
  </si>
  <si>
    <t>SPY140118P00142000</t>
  </si>
  <si>
    <t>SPY140118C00143000</t>
  </si>
  <si>
    <t>SPY140118P00143000</t>
  </si>
  <si>
    <t>SPY140118C00144000</t>
  </si>
  <si>
    <t>SPY140118P00144000</t>
  </si>
  <si>
    <t>SPY140118C00145000</t>
  </si>
  <si>
    <t>SPY140118P00145000</t>
  </si>
  <si>
    <t>SPY140118C00146000</t>
  </si>
  <si>
    <t>SPY140118P00146000</t>
  </si>
  <si>
    <t>SPY140118C00147000</t>
  </si>
  <si>
    <t>SPY140118P00147000</t>
  </si>
  <si>
    <t>SPY140118C00148000</t>
  </si>
  <si>
    <t>SPY140118P00148000</t>
  </si>
  <si>
    <t>SPY140118C00149000</t>
  </si>
  <si>
    <t>SPY140118P00149000</t>
  </si>
  <si>
    <t>SPY140118C00150000</t>
  </si>
  <si>
    <t>SPY140118P00150000</t>
  </si>
  <si>
    <t>SPY140118C00151000</t>
  </si>
  <si>
    <t>SPY140118P00151000</t>
  </si>
  <si>
    <t>SPY140118C00152000</t>
  </si>
  <si>
    <t>SPY140118P00152000</t>
  </si>
  <si>
    <t>SPY140118C00153000</t>
  </si>
  <si>
    <t>SPY140118P00153000</t>
  </si>
  <si>
    <t>SPY140118C00154000</t>
  </si>
  <si>
    <t>SPY140118P00154000</t>
  </si>
  <si>
    <t>SPY140118C00155000</t>
  </si>
  <si>
    <t>SPY140118P00155000</t>
  </si>
  <si>
    <t>SPY140118C00156000</t>
  </si>
  <si>
    <t>SPY140118P00156000</t>
  </si>
  <si>
    <t>SPY140118C00157000</t>
  </si>
  <si>
    <t>SPY140118P00157000</t>
  </si>
  <si>
    <t>SPY140118C00158000</t>
  </si>
  <si>
    <t>SPY140118P00158000</t>
  </si>
  <si>
    <t>SPY140118C00159000</t>
  </si>
  <si>
    <t>SPY140118P00159000</t>
  </si>
  <si>
    <t>SPY140118C00160000</t>
  </si>
  <si>
    <t>SPY140118P00160000</t>
  </si>
  <si>
    <t>SPY140118C00161000</t>
  </si>
  <si>
    <t>SPY140118P00161000</t>
  </si>
  <si>
    <t>SPY140118C00162000</t>
  </si>
  <si>
    <t>SPY140118P00162000</t>
  </si>
  <si>
    <t>SPY140118C00163000</t>
  </si>
  <si>
    <t>SPY140118P00163000</t>
  </si>
  <si>
    <t>SPY140118C00164000</t>
  </si>
  <si>
    <t>SPY140118P00164000</t>
  </si>
  <si>
    <t>SPY140118C00165000</t>
  </si>
  <si>
    <t>SPY140118P00165000</t>
  </si>
  <si>
    <t>SPY140118C00166000</t>
  </si>
  <si>
    <t>SPY140118P00166000</t>
  </si>
  <si>
    <t>SPY140118C00167000</t>
  </si>
  <si>
    <t>SPY140118P00167000</t>
  </si>
  <si>
    <t>SPY140118C00168000</t>
  </si>
  <si>
    <t>SPY140118P00168000</t>
  </si>
  <si>
    <t>SPY140118C00169000</t>
  </si>
  <si>
    <t>SPY140118P00169000</t>
  </si>
  <si>
    <t>SPY140118C00170000</t>
  </si>
  <si>
    <t>SPY140118P00170000</t>
  </si>
  <si>
    <t>SPY140118C00175000</t>
  </si>
  <si>
    <t>SPY140118P00175000</t>
  </si>
  <si>
    <t>SPY140118C00180000</t>
  </si>
  <si>
    <t>SPY140118P00180000</t>
  </si>
  <si>
    <t>SPY140118C00185000</t>
  </si>
  <si>
    <t>SPY140118P00185000</t>
  </si>
  <si>
    <t>SPY140118C00190000</t>
  </si>
  <si>
    <t>SPY140118P00190000</t>
  </si>
  <si>
    <t>SPY140118C00195000</t>
  </si>
  <si>
    <t>SPY140118P00195000</t>
  </si>
  <si>
    <t>SPY140118C00200000</t>
  </si>
  <si>
    <t>SPY140118P00200000</t>
  </si>
  <si>
    <t>SPY140118C00205000</t>
  </si>
  <si>
    <t>SPY140118P00205000</t>
  </si>
  <si>
    <t>SPY140118C00210000</t>
  </si>
  <si>
    <t>SPY140118P00210000</t>
  </si>
  <si>
    <t>SPY141220C00020000</t>
  </si>
  <si>
    <t>SPY141220P00020000</t>
  </si>
  <si>
    <t>SPY141220C00025000</t>
  </si>
  <si>
    <t>SPY141220P00025000</t>
  </si>
  <si>
    <t>SPY141220C00030000</t>
  </si>
  <si>
    <t>SPY141220P00030000</t>
  </si>
  <si>
    <t>SPY141220C00035000</t>
  </si>
  <si>
    <t>SPY141220P00035000</t>
  </si>
  <si>
    <t>SPY141220C00040000</t>
  </si>
  <si>
    <t>SPY141220P00040000</t>
  </si>
  <si>
    <t>SPY141220C00045000</t>
  </si>
  <si>
    <t>SPY141220P00045000</t>
  </si>
  <si>
    <t>SPY141220C00050000</t>
  </si>
  <si>
    <t>SPY141220P00050000</t>
  </si>
  <si>
    <t>SPY141220C00055000</t>
  </si>
  <si>
    <t>SPY141220P00055000</t>
  </si>
  <si>
    <t>SPY141220C00060000</t>
  </si>
  <si>
    <t>SPY141220P00060000</t>
  </si>
  <si>
    <t>SPY141220C00065000</t>
  </si>
  <si>
    <t>SPY141220P00065000</t>
  </si>
  <si>
    <t>SPY141220C00070000</t>
  </si>
  <si>
    <t>SPY141220P00070000</t>
  </si>
  <si>
    <t>SPY141220C00075000</t>
  </si>
  <si>
    <t>SPY141220P00075000</t>
  </si>
  <si>
    <t>SPY141220C00080000</t>
  </si>
  <si>
    <t>SPY141220P00080000</t>
  </si>
  <si>
    <t>SPY141220C00085000</t>
  </si>
  <si>
    <t>SPY141220P00085000</t>
  </si>
  <si>
    <t>SPY141220C00090000</t>
  </si>
  <si>
    <t>SPY141220P00090000</t>
  </si>
  <si>
    <t>SPY141220C00095000</t>
  </si>
  <si>
    <t>SPY141220P00095000</t>
  </si>
  <si>
    <t>SPY141220C00100000</t>
  </si>
  <si>
    <t>SPY141220P00100000</t>
  </si>
  <si>
    <t>SPY141220C00105000</t>
  </si>
  <si>
    <t>SPY141220P00105000</t>
  </si>
  <si>
    <t>SPY141220C00110000</t>
  </si>
  <si>
    <t>SPY141220P00110000</t>
  </si>
  <si>
    <t>SPY141220C00115000</t>
  </si>
  <si>
    <t>SPY141220P00115000</t>
  </si>
  <si>
    <t>SPY141220C00120000</t>
  </si>
  <si>
    <t>SPY141220P00120000</t>
  </si>
  <si>
    <t>SPY141220C00125000</t>
  </si>
  <si>
    <t>SPY141220P00125000</t>
  </si>
  <si>
    <t>SPY141220C00130000</t>
  </si>
  <si>
    <t>SPY141220P00130000</t>
  </si>
  <si>
    <t>SPY141220C00135000</t>
  </si>
  <si>
    <t>SPY141220P00135000</t>
  </si>
  <si>
    <t>SPY141220C00140000</t>
  </si>
  <si>
    <t>SPY141220P00140000</t>
  </si>
  <si>
    <t>SPY141220C00145000</t>
  </si>
  <si>
    <t>SPY141220P00145000</t>
  </si>
  <si>
    <t>SPY141220C00150000</t>
  </si>
  <si>
    <t>SPY141220P00150000</t>
  </si>
  <si>
    <t>SPY141220C00155000</t>
  </si>
  <si>
    <t>SPY141220P00155000</t>
  </si>
  <si>
    <t>SPY141220C00160000</t>
  </si>
  <si>
    <t>SPY141220P00160000</t>
  </si>
  <si>
    <t>SPY141220C00165000</t>
  </si>
  <si>
    <t>SPY141220P00165000</t>
  </si>
  <si>
    <t>SPY141220C00170000</t>
  </si>
  <si>
    <t>SPY141220P00170000</t>
  </si>
  <si>
    <t>SPY141220C00175000</t>
  </si>
  <si>
    <t>SPY141220P00175000</t>
  </si>
  <si>
    <t>SPY141220C00180000</t>
  </si>
  <si>
    <t>SPY141220P00180000</t>
  </si>
  <si>
    <t>SPY141220C00185000</t>
  </si>
  <si>
    <t>SPY141220P00185000</t>
  </si>
  <si>
    <t>SPY141220C00190000</t>
  </si>
  <si>
    <t>SPY141220P00190000</t>
  </si>
  <si>
    <t>SPY141220C00195000</t>
  </si>
  <si>
    <t>SPY141220P00195000</t>
  </si>
  <si>
    <t>SPY141220C00200000</t>
  </si>
  <si>
    <t>SPY141220P00200000</t>
  </si>
  <si>
    <t>SPY141220C00205000</t>
  </si>
  <si>
    <t>SPY141220P00205000</t>
  </si>
  <si>
    <t>SPY141220C00210000</t>
  </si>
  <si>
    <t>SPY141220P00210000</t>
  </si>
  <si>
    <t>SPY141220C00215000</t>
  </si>
  <si>
    <t>SPY141220P00215000</t>
  </si>
  <si>
    <t>SPY141220C00220000</t>
  </si>
  <si>
    <t>SPY141220P00220000</t>
  </si>
  <si>
    <t>SPY141220C00225000</t>
  </si>
  <si>
    <t>SPY141220P00225000</t>
  </si>
  <si>
    <t>SPY141220C00230000</t>
  </si>
  <si>
    <t>SPY141220P00230000</t>
  </si>
  <si>
    <t>SPY141220C00235000</t>
  </si>
  <si>
    <t>SPY141220P00235000</t>
  </si>
  <si>
    <t>SPY141220C00240000</t>
  </si>
  <si>
    <t>SPY141220P00240000</t>
  </si>
  <si>
    <t>SPY141220C00245000</t>
  </si>
  <si>
    <t>SPY141220P00245000</t>
  </si>
  <si>
    <t>SPY141220C00250000</t>
  </si>
  <si>
    <t>SPY141220P00250000</t>
  </si>
  <si>
    <t>SPY141220C00255000</t>
  </si>
  <si>
    <t>SPY141220P00255000</t>
  </si>
  <si>
    <t>SPY141220C00260000</t>
  </si>
  <si>
    <t>SPY141220P00260000</t>
  </si>
  <si>
    <t xml:space="preserve"> - </t>
  </si>
  <si>
    <t>TD</t>
  </si>
  <si>
    <t>TD150117C00032500</t>
  </si>
  <si>
    <t>TD150117P00032500</t>
  </si>
  <si>
    <t>TD150117C00035000</t>
  </si>
  <si>
    <t>TD150117P00035000</t>
  </si>
  <si>
    <t>TD150117C00037500</t>
  </si>
  <si>
    <t>TD150117P00037500</t>
  </si>
  <si>
    <t>TD150117C00040000</t>
  </si>
  <si>
    <t>TD150117P00040000</t>
  </si>
  <si>
    <t>TD150117C00042500</t>
  </si>
  <si>
    <t>TD150117P00042500</t>
  </si>
  <si>
    <t>TD150117C00045000</t>
  </si>
  <si>
    <t>TD150117P00045000</t>
  </si>
  <si>
    <t>TD150117C00047500</t>
  </si>
  <si>
    <t>TD150117P00047500</t>
  </si>
  <si>
    <t>TD150117C00050000</t>
  </si>
  <si>
    <t>TD150117P00050000</t>
  </si>
  <si>
    <t>TD150117C00052500</t>
  </si>
  <si>
    <t>TD150117P00052500</t>
  </si>
  <si>
    <t>TD150117C00055000</t>
  </si>
  <si>
    <t>TD150117P00055000</t>
  </si>
  <si>
    <t>TD150117C00057500</t>
  </si>
  <si>
    <t>TD150117P00057500</t>
  </si>
  <si>
    <t>TD150117C00060000</t>
  </si>
  <si>
    <t>TD150117P00060000</t>
  </si>
  <si>
    <t>TD150117C00065000</t>
  </si>
  <si>
    <t>TD150117P00065000</t>
  </si>
  <si>
    <t>TD150417C00040000</t>
  </si>
  <si>
    <t>TD150417P00040000</t>
  </si>
  <si>
    <t>TD150417C00042500</t>
  </si>
  <si>
    <t>TD150417P00042500</t>
  </si>
  <si>
    <t>TD150417C00045000</t>
  </si>
  <si>
    <t>TD150417P00045000</t>
  </si>
  <si>
    <t>TD150417C00047500</t>
  </si>
  <si>
    <t>TD150417P00047500</t>
  </si>
  <si>
    <t>TD150417C00050000</t>
  </si>
  <si>
    <t>TD150417P00050000</t>
  </si>
  <si>
    <t>TD150417C00052500</t>
  </si>
  <si>
    <t>TD150417P00052500</t>
  </si>
  <si>
    <t>TD150417C00055000</t>
  </si>
  <si>
    <t>TD150417P00055000</t>
  </si>
  <si>
    <t>TD150417C00057500</t>
  </si>
  <si>
    <t>TD150417P00057500</t>
  </si>
  <si>
    <t>TD150417C00060000</t>
  </si>
  <si>
    <t>TD150417P00060000</t>
  </si>
  <si>
    <t>TD150417C00065000</t>
  </si>
  <si>
    <t>TD150417P00065000</t>
  </si>
  <si>
    <t>TD150417C00070000</t>
  </si>
  <si>
    <t>TD150417P00070000</t>
  </si>
  <si>
    <t>CM</t>
  </si>
  <si>
    <t>CM150117C00075000</t>
  </si>
  <si>
    <t>CM150117P00075000</t>
  </si>
  <si>
    <t>CM150117C00080000</t>
  </si>
  <si>
    <t>CM150117P00080000</t>
  </si>
  <si>
    <t>CM150117C00085000</t>
  </si>
  <si>
    <t>CM150117P00085000</t>
  </si>
  <si>
    <t>CM150117C00090000</t>
  </si>
  <si>
    <t>CM150117P00090000</t>
  </si>
  <si>
    <t>CM150117C00095000</t>
  </si>
  <si>
    <t>CM150117P00095000</t>
  </si>
  <si>
    <t>CM150117C00105000</t>
  </si>
  <si>
    <t>CM150117P00105000</t>
  </si>
  <si>
    <t>CM150220C00065000</t>
  </si>
  <si>
    <t>CM150220P00065000</t>
  </si>
  <si>
    <t>CM150220C00075000</t>
  </si>
  <si>
    <t>CM150220P00075000</t>
  </si>
  <si>
    <t>CM150220C00080000</t>
  </si>
  <si>
    <t>CM150220P00080000</t>
  </si>
  <si>
    <t>CM150220C00085000</t>
  </si>
  <si>
    <t>CM150220P00085000</t>
  </si>
  <si>
    <t>CM150220C00090000</t>
  </si>
  <si>
    <t>CM150220P00090000</t>
  </si>
  <si>
    <t>CM150220C00095000</t>
  </si>
  <si>
    <t>CM150220P00095000</t>
  </si>
  <si>
    <t>CM150320C00065000</t>
  </si>
  <si>
    <t>CM150320P00065000</t>
  </si>
  <si>
    <t>CM150320C00070000</t>
  </si>
  <si>
    <t>CM150320P00070000</t>
  </si>
  <si>
    <t>CM150320C00075000</t>
  </si>
  <si>
    <t>CM150320P00075000</t>
  </si>
  <si>
    <t>CM150320C00080000</t>
  </si>
  <si>
    <t>CM150320P00080000</t>
  </si>
  <si>
    <t>CM150320C00085000</t>
  </si>
  <si>
    <t>CM150320P00085000</t>
  </si>
  <si>
    <t>CM150320C00090000</t>
  </si>
  <si>
    <t>CM150320P00090000</t>
  </si>
  <si>
    <t>CM150320C00095000</t>
  </si>
  <si>
    <t>CM150320P00095000</t>
  </si>
  <si>
    <t>CM150320C00100000</t>
  </si>
  <si>
    <t>CM150320P00100000</t>
  </si>
  <si>
    <t>CM150320C00110000</t>
  </si>
  <si>
    <t>CM150320P00110000</t>
  </si>
  <si>
    <t>CM150320C00115000</t>
  </si>
  <si>
    <t>CM150320P00115000</t>
  </si>
  <si>
    <t>CM150619C00060000</t>
  </si>
  <si>
    <t>CM150619P00060000</t>
  </si>
  <si>
    <t>CM150619C00065000</t>
  </si>
  <si>
    <t>CM150619P00065000</t>
  </si>
  <si>
    <t>CM150619C00070000</t>
  </si>
  <si>
    <t>CM150619P00070000</t>
  </si>
  <si>
    <t>CM150619C00075000</t>
  </si>
  <si>
    <t>CM150619P00075000</t>
  </si>
  <si>
    <t>CM150619C00080000</t>
  </si>
  <si>
    <t>CM150619P00080000</t>
  </si>
  <si>
    <t>CM150619C00085000</t>
  </si>
  <si>
    <t>CM150619P00085000</t>
  </si>
  <si>
    <t>CM150619C00090000</t>
  </si>
  <si>
    <t>CM150619P00090000</t>
  </si>
  <si>
    <t>CM150619C00095000</t>
  </si>
  <si>
    <t>CM150619P00095000</t>
  </si>
  <si>
    <t>CM150619C00100000</t>
  </si>
  <si>
    <t>CM150619P00100000</t>
  </si>
  <si>
    <t>TD150220C00037500</t>
  </si>
  <si>
    <t>TD150220P00037500</t>
  </si>
  <si>
    <t>TD150220C00040000</t>
  </si>
  <si>
    <t>TD150220P00040000</t>
  </si>
  <si>
    <t>TD150220C00042500</t>
  </si>
  <si>
    <t>TD150220P00042500</t>
  </si>
  <si>
    <t>TD150220C00045000</t>
  </si>
  <si>
    <t>TD150220P00045000</t>
  </si>
  <si>
    <t>TD150220C00047500</t>
  </si>
  <si>
    <t>TD150220P00047500</t>
  </si>
  <si>
    <t>TD150220C00050000</t>
  </si>
  <si>
    <t>TD150220P00050000</t>
  </si>
  <si>
    <t>TD150417C00035000</t>
  </si>
  <si>
    <t>TD150417P00035000</t>
  </si>
  <si>
    <t>TD150417C00037500</t>
  </si>
  <si>
    <t>TD150417P00037500</t>
  </si>
  <si>
    <t>TD150717C00035000</t>
  </si>
  <si>
    <t>TD150717P00035000</t>
  </si>
  <si>
    <t>TD150717C00037500</t>
  </si>
  <si>
    <t>TD150717P00037500</t>
  </si>
  <si>
    <t>TD150717C00040000</t>
  </si>
  <si>
    <t>TD150717P00040000</t>
  </si>
  <si>
    <t>TD150717C00042500</t>
  </si>
  <si>
    <t>TD150717P00042500</t>
  </si>
  <si>
    <t>TD150717C00045000</t>
  </si>
  <si>
    <t>TD150717P00045000</t>
  </si>
  <si>
    <t>TD150717C00047500</t>
  </si>
  <si>
    <t>TD150717P00047500</t>
  </si>
  <si>
    <t>TD150717C00050000</t>
  </si>
  <si>
    <t>TD150717P00050000</t>
  </si>
  <si>
    <t>TD150717C00052500</t>
  </si>
  <si>
    <t>TD150717P00052500</t>
  </si>
  <si>
    <t>TD150717C00055000</t>
  </si>
  <si>
    <t>TD150717P00055000</t>
  </si>
  <si>
    <t>BMO</t>
  </si>
  <si>
    <t>Name</t>
  </si>
  <si>
    <t>Timestamp</t>
  </si>
  <si>
    <t>Size</t>
  </si>
  <si>
    <t>CBOE(CBOE HOLDINGS, INC)</t>
  </si>
  <si>
    <t xml:space="preserve">Strike </t>
  </si>
  <si>
    <t xml:space="preserve">Last </t>
  </si>
  <si>
    <t xml:space="preserve">Net </t>
  </si>
  <si>
    <t xml:space="preserve">Bid </t>
  </si>
  <si>
    <t xml:space="preserve">Ask </t>
  </si>
  <si>
    <t xml:space="preserve">Vol </t>
  </si>
  <si>
    <t xml:space="preserve">Int </t>
  </si>
  <si>
    <t>12x9</t>
  </si>
  <si>
    <t xml:space="preserve"> CBOE1520B50-E   </t>
  </si>
  <si>
    <t xml:space="preserve"> CBOE1520B52.5-E   </t>
  </si>
  <si>
    <t xml:space="preserve"> CBOE1520B55-E   </t>
  </si>
  <si>
    <t xml:space="preserve"> CBOE1520B57.5-E   </t>
  </si>
  <si>
    <t xml:space="preserve"> CBOE1520B60-E   </t>
  </si>
  <si>
    <t xml:space="preserve"> CBOE1520B62.5-E   </t>
  </si>
  <si>
    <t xml:space="preserve"> CBOE1520B65-E   </t>
  </si>
  <si>
    <t xml:space="preserve"> CBOE1520B67.5-E   </t>
  </si>
  <si>
    <t xml:space="preserve"> CBOE1520B70-E   </t>
  </si>
  <si>
    <t xml:space="preserve"> CBOE1520B72.5-E   </t>
  </si>
  <si>
    <t xml:space="preserve"> CBOE1520B75-E   </t>
  </si>
  <si>
    <t xml:space="preserve"> CBOE1520B80-E   </t>
  </si>
  <si>
    <t xml:space="preserve"> CBOE1520N50-E   </t>
  </si>
  <si>
    <t xml:space="preserve"> CBOE1520N52.5-E   </t>
  </si>
  <si>
    <t xml:space="preserve"> CBOE1520N55-E   </t>
  </si>
  <si>
    <t xml:space="preserve"> CBOE1520N57.5-E   </t>
  </si>
  <si>
    <t xml:space="preserve"> CBOE1520N60-E   </t>
  </si>
  <si>
    <t xml:space="preserve"> CBOE1520N62.5-E   </t>
  </si>
  <si>
    <t xml:space="preserve"> CBOE1520N65-E   </t>
  </si>
  <si>
    <t xml:space="preserve"> CBOE1520N67.5-E   </t>
  </si>
  <si>
    <t xml:space="preserve"> CBOE1520N70-E   </t>
  </si>
  <si>
    <t xml:space="preserve"> CBOE1520N72.5-E   </t>
  </si>
  <si>
    <t xml:space="preserve"> CBOE1520N75-E   </t>
  </si>
  <si>
    <t xml:space="preserve"> CBOE1520N80-E   </t>
  </si>
  <si>
    <t xml:space="preserve"> CBOE1520C25-E   </t>
  </si>
  <si>
    <t xml:space="preserve"> CBOE1520C26-E   </t>
  </si>
  <si>
    <t xml:space="preserve"> CBOE1520C27-E   </t>
  </si>
  <si>
    <t xml:space="preserve"> CBOE1520C28-E   </t>
  </si>
  <si>
    <t xml:space="preserve"> CBOE1520C29-E   </t>
  </si>
  <si>
    <t xml:space="preserve"> CBOE1520C30-E   </t>
  </si>
  <si>
    <t xml:space="preserve"> CBOE1520C31-E   </t>
  </si>
  <si>
    <t xml:space="preserve"> CBOE1520C32-E   </t>
  </si>
  <si>
    <t xml:space="preserve"> CBOE1520C33-E   </t>
  </si>
  <si>
    <t xml:space="preserve"> CBOE1520C34-E   </t>
  </si>
  <si>
    <t xml:space="preserve"> CBOE1520C35-E   </t>
  </si>
  <si>
    <t xml:space="preserve"> CBOE1520C36-E   </t>
  </si>
  <si>
    <t xml:space="preserve"> CBOE1520C37-E   </t>
  </si>
  <si>
    <t xml:space="preserve"> CBOE1520C38-E   </t>
  </si>
  <si>
    <t xml:space="preserve"> CBOE1520C39-E   </t>
  </si>
  <si>
    <t xml:space="preserve"> CBOE1520C40-E   </t>
  </si>
  <si>
    <t xml:space="preserve"> CBOE1520C41-E   </t>
  </si>
  <si>
    <t xml:space="preserve"> CBOE1520C42-E   </t>
  </si>
  <si>
    <t xml:space="preserve"> CBOE1520C43-E   </t>
  </si>
  <si>
    <t xml:space="preserve"> CBOE1520C44-E   </t>
  </si>
  <si>
    <t xml:space="preserve"> CBOE1520C45-E   </t>
  </si>
  <si>
    <t xml:space="preserve"> CBOE1520C46-E   </t>
  </si>
  <si>
    <t xml:space="preserve"> CBOE1520C47-E   </t>
  </si>
  <si>
    <t xml:space="preserve"> CBOE1520C48-E   </t>
  </si>
  <si>
    <t xml:space="preserve"> CBOE1520C49-E   </t>
  </si>
  <si>
    <t xml:space="preserve"> CBOE1520C50-E   </t>
  </si>
  <si>
    <t xml:space="preserve"> CBOE1520C52.5-E   </t>
  </si>
  <si>
    <t xml:space="preserve"> CBOE1520C55-E   </t>
  </si>
  <si>
    <t xml:space="preserve"> CBOE1520C57.5-E   </t>
  </si>
  <si>
    <t xml:space="preserve"> CBOE1520C60-E   </t>
  </si>
  <si>
    <t xml:space="preserve"> CBOE1520C62.5-E   </t>
  </si>
  <si>
    <t xml:space="preserve"> CBOE1520C65-E   </t>
  </si>
  <si>
    <t xml:space="preserve"> CBOE1520C67.5-E   </t>
  </si>
  <si>
    <t xml:space="preserve"> CBOE1520C70-E   </t>
  </si>
  <si>
    <t xml:space="preserve"> CBOE1520C72.5-E   </t>
  </si>
  <si>
    <t xml:space="preserve"> CBOE1520C75-E   </t>
  </si>
  <si>
    <t xml:space="preserve"> CBOE1520C80-E   </t>
  </si>
  <si>
    <t xml:space="preserve"> CBOE1520O25-E   </t>
  </si>
  <si>
    <t xml:space="preserve"> CBOE1520O26-E   </t>
  </si>
  <si>
    <t xml:space="preserve"> CBOE1520O27-E   </t>
  </si>
  <si>
    <t xml:space="preserve"> CBOE1520O28-E   </t>
  </si>
  <si>
    <t xml:space="preserve"> CBOE1520O29-E   </t>
  </si>
  <si>
    <t xml:space="preserve"> CBOE1520O30-E   </t>
  </si>
  <si>
    <t xml:space="preserve"> CBOE1520O31-E   </t>
  </si>
  <si>
    <t xml:space="preserve"> CBOE1520O32-E   </t>
  </si>
  <si>
    <t xml:space="preserve"> CBOE1520O33-E   </t>
  </si>
  <si>
    <t xml:space="preserve"> CBOE1520O34-E   </t>
  </si>
  <si>
    <t xml:space="preserve"> CBOE1520O35-E   </t>
  </si>
  <si>
    <t xml:space="preserve"> CBOE1520O36-E   </t>
  </si>
  <si>
    <t xml:space="preserve"> CBOE1520O37-E   </t>
  </si>
  <si>
    <t xml:space="preserve"> CBOE1520O38-E   </t>
  </si>
  <si>
    <t xml:space="preserve"> CBOE1520O39-E   </t>
  </si>
  <si>
    <t xml:space="preserve"> CBOE1520O40-E   </t>
  </si>
  <si>
    <t xml:space="preserve"> CBOE1520O41-E   </t>
  </si>
  <si>
    <t xml:space="preserve"> CBOE1520O42-E   </t>
  </si>
  <si>
    <t xml:space="preserve"> CBOE1520O43-E   </t>
  </si>
  <si>
    <t xml:space="preserve"> CBOE1520O44-E   </t>
  </si>
  <si>
    <t xml:space="preserve"> CBOE1520O45-E   </t>
  </si>
  <si>
    <t xml:space="preserve"> CBOE1520O46-E   </t>
  </si>
  <si>
    <t xml:space="preserve"> CBOE1520O47-E   </t>
  </si>
  <si>
    <t xml:space="preserve"> CBOE1520O48-E   </t>
  </si>
  <si>
    <t xml:space="preserve"> CBOE1520O49-E   </t>
  </si>
  <si>
    <t xml:space="preserve"> CBOE1520O50-E   </t>
  </si>
  <si>
    <t xml:space="preserve"> CBOE1520O52.5-E   </t>
  </si>
  <si>
    <t xml:space="preserve"> CBOE1520O55-E   </t>
  </si>
  <si>
    <t xml:space="preserve"> CBOE1520O57.5-E   </t>
  </si>
  <si>
    <t xml:space="preserve"> CBOE1520O60-E   </t>
  </si>
  <si>
    <t xml:space="preserve"> CBOE1520O62.5-E   </t>
  </si>
  <si>
    <t xml:space="preserve"> CBOE1520O65-E   </t>
  </si>
  <si>
    <t xml:space="preserve"> CBOE1520O67.5-E   </t>
  </si>
  <si>
    <t xml:space="preserve"> CBOE1520O70-E   </t>
  </si>
  <si>
    <t xml:space="preserve"> CBOE1520O72.5-E   </t>
  </si>
  <si>
    <t xml:space="preserve"> CBOE1520O75-E   </t>
  </si>
  <si>
    <t xml:space="preserve"> CBOE1520O80-E   </t>
  </si>
  <si>
    <t xml:space="preserve"> CBOE1519F35-E   </t>
  </si>
  <si>
    <t xml:space="preserve"> CBOE1519F40-E   </t>
  </si>
  <si>
    <t xml:space="preserve"> CBOE1519F42.5-E   </t>
  </si>
  <si>
    <t xml:space="preserve"> CBOE1519F45-E   </t>
  </si>
  <si>
    <t xml:space="preserve"> CBOE1519F47.5-E   </t>
  </si>
  <si>
    <t xml:space="preserve"> CBOE1519F50-E   </t>
  </si>
  <si>
    <t xml:space="preserve"> CBOE1519F52.5-E   </t>
  </si>
  <si>
    <t xml:space="preserve"> CBOE1519F55-E   </t>
  </si>
  <si>
    <t xml:space="preserve"> CBOE1519F57.5-E   </t>
  </si>
  <si>
    <t xml:space="preserve"> CBOE1519F60-E   </t>
  </si>
  <si>
    <t xml:space="preserve"> CBOE1519F62.5-E   </t>
  </si>
  <si>
    <t xml:space="preserve"> CBOE1519F65-E   </t>
  </si>
  <si>
    <t xml:space="preserve"> CBOE1519F67.5-E   </t>
  </si>
  <si>
    <t xml:space="preserve"> CBOE1519F70-E   </t>
  </si>
  <si>
    <t xml:space="preserve"> CBOE1519F72.5-E   </t>
  </si>
  <si>
    <t xml:space="preserve"> CBOE1519F75-E   </t>
  </si>
  <si>
    <t xml:space="preserve"> CBOE1519F80-E   </t>
  </si>
  <si>
    <t xml:space="preserve"> CBOE1519R35-E   </t>
  </si>
  <si>
    <t xml:space="preserve"> CBOE1519R40-E   </t>
  </si>
  <si>
    <t xml:space="preserve"> CBOE1519R42.5-E   </t>
  </si>
  <si>
    <t xml:space="preserve"> CBOE1519R45-E   </t>
  </si>
  <si>
    <t xml:space="preserve"> CBOE1519R47.5-E   </t>
  </si>
  <si>
    <t xml:space="preserve"> CBOE1519R50-E   </t>
  </si>
  <si>
    <t xml:space="preserve"> CBOE1519R52.5-E   </t>
  </si>
  <si>
    <t xml:space="preserve"> CBOE1519R55-E   </t>
  </si>
  <si>
    <t xml:space="preserve"> CBOE1519R57.5-E   </t>
  </si>
  <si>
    <t xml:space="preserve"> CBOE1519R60-E   </t>
  </si>
  <si>
    <t xml:space="preserve"> CBOE1519R62.5-E   </t>
  </si>
  <si>
    <t xml:space="preserve"> CBOE1519R65-E   </t>
  </si>
  <si>
    <t xml:space="preserve"> CBOE1519R67.5-E   </t>
  </si>
  <si>
    <t xml:space="preserve"> CBOE1519R70-E   </t>
  </si>
  <si>
    <t xml:space="preserve"> CBOE1519R72.5-E   </t>
  </si>
  <si>
    <t xml:space="preserve"> CBOE1519R75-E   </t>
  </si>
  <si>
    <t xml:space="preserve"> CBOE1519R80-E   </t>
  </si>
  <si>
    <t xml:space="preserve"> CBOE1518I40-E   </t>
  </si>
  <si>
    <t xml:space="preserve"> CBOE1518I42.5-E   </t>
  </si>
  <si>
    <t xml:space="preserve"> CBOE1518I45-E   </t>
  </si>
  <si>
    <t xml:space="preserve"> CBOE1518I47.5-E   </t>
  </si>
  <si>
    <t xml:space="preserve"> CBOE1518I50-E   </t>
  </si>
  <si>
    <t xml:space="preserve"> CBOE1518I52.5-E   </t>
  </si>
  <si>
    <t xml:space="preserve"> CBOE1518I55-E   </t>
  </si>
  <si>
    <t xml:space="preserve"> CBOE1518I57.5-E   </t>
  </si>
  <si>
    <t xml:space="preserve"> CBOE1518I60-E   </t>
  </si>
  <si>
    <t xml:space="preserve"> CBOE1518I62.5-E   </t>
  </si>
  <si>
    <t xml:space="preserve"> CBOE1518I65-E   </t>
  </si>
  <si>
    <t xml:space="preserve"> CBOE1518I67.5-E   </t>
  </si>
  <si>
    <t xml:space="preserve"> CBOE1518I70-E   </t>
  </si>
  <si>
    <t xml:space="preserve"> CBOE1518I72.5-E   </t>
  </si>
  <si>
    <t xml:space="preserve"> CBOE1518I75-E   </t>
  </si>
  <si>
    <t xml:space="preserve"> CBOE1518I77.5-E   </t>
  </si>
  <si>
    <t xml:space="preserve"> CBOE1518I80-E   </t>
  </si>
  <si>
    <t xml:space="preserve"> CBOE1518I82.5-E   </t>
  </si>
  <si>
    <t xml:space="preserve"> CBOE1518I85-E   </t>
  </si>
  <si>
    <t xml:space="preserve"> CBOE1518I90-E   </t>
  </si>
  <si>
    <t xml:space="preserve"> CBOE1518U40-E   </t>
  </si>
  <si>
    <t xml:space="preserve"> CBOE1518U42.5-E   </t>
  </si>
  <si>
    <t xml:space="preserve"> CBOE1518U45-E   </t>
  </si>
  <si>
    <t xml:space="preserve"> CBOE1518U47.5-E   </t>
  </si>
  <si>
    <t xml:space="preserve"> CBOE1518U50-E   </t>
  </si>
  <si>
    <t xml:space="preserve"> CBOE1518U52.5-E   </t>
  </si>
  <si>
    <t xml:space="preserve"> CBOE1518U55-E   </t>
  </si>
  <si>
    <t xml:space="preserve"> CBOE1518U57.5-E   </t>
  </si>
  <si>
    <t xml:space="preserve"> CBOE1518U60-E   </t>
  </si>
  <si>
    <t xml:space="preserve"> CBOE1518U62.5-E   </t>
  </si>
  <si>
    <t xml:space="preserve"> CBOE1518U65-E   </t>
  </si>
  <si>
    <t xml:space="preserve"> CBOE1518U67.5-E   </t>
  </si>
  <si>
    <t xml:space="preserve"> CBOE1518U70-E   </t>
  </si>
  <si>
    <t xml:space="preserve"> CBOE1518U72.5-E   </t>
  </si>
  <si>
    <t xml:space="preserve"> CBOE1518U75-E   </t>
  </si>
  <si>
    <t xml:space="preserve"> CBOE1518U77.5-E   </t>
  </si>
  <si>
    <t xml:space="preserve"> CBOE1518U80-E   </t>
  </si>
  <si>
    <t xml:space="preserve"> CBOE1518U82.5-E   </t>
  </si>
  <si>
    <t xml:space="preserve"> CBOE1518U85-E   </t>
  </si>
  <si>
    <t xml:space="preserve"> CBOE1518U90-E   </t>
  </si>
  <si>
    <t xml:space="preserve"> CBOE1615A25-E   </t>
  </si>
  <si>
    <t xml:space="preserve"> CBOE1615A28-E   </t>
  </si>
  <si>
    <t xml:space="preserve"> CBOE1615A29.5-E   </t>
  </si>
  <si>
    <t xml:space="preserve"> CBOE1615A33-E   </t>
  </si>
  <si>
    <t xml:space="preserve"> CBOE1615A34.5-E   </t>
  </si>
  <si>
    <t xml:space="preserve"> CBOE1615A38-E   </t>
  </si>
  <si>
    <t xml:space="preserve"> CBOE1615A39.5-E   </t>
  </si>
  <si>
    <t xml:space="preserve"> CBOE1615A43-E   </t>
  </si>
  <si>
    <t xml:space="preserve"> CBOE1615A44.5-E   </t>
  </si>
  <si>
    <t xml:space="preserve"> CBOE1615A47-E   </t>
  </si>
  <si>
    <t xml:space="preserve"> CBOE1615A49.5-E   </t>
  </si>
  <si>
    <t xml:space="preserve"> CBOE1615A52-E   </t>
  </si>
  <si>
    <t xml:space="preserve"> CBOE1615A54.5-E   </t>
  </si>
  <si>
    <t xml:space="preserve"> CBOE1615A57-E   </t>
  </si>
  <si>
    <t xml:space="preserve"> CBOE1615A59.5-E   </t>
  </si>
  <si>
    <t xml:space="preserve"> CBOE1615A62.5-E   </t>
  </si>
  <si>
    <t xml:space="preserve"> CBOE1615A64.5-E   </t>
  </si>
  <si>
    <t xml:space="preserve"> CBOE1615A67.5-E   </t>
  </si>
  <si>
    <t xml:space="preserve"> CBOE1615A69.5-E   </t>
  </si>
  <si>
    <t xml:space="preserve"> CBOE1615A72.5-E   </t>
  </si>
  <si>
    <t xml:space="preserve"> CBOE1615A74.5-E   </t>
  </si>
  <si>
    <t xml:space="preserve"> CBOE1615A80-E   </t>
  </si>
  <si>
    <t xml:space="preserve"> CBOE1615A85-E   </t>
  </si>
  <si>
    <t xml:space="preserve"> CBOE1615A90-E   </t>
  </si>
  <si>
    <t xml:space="preserve"> CBOE1615M25-E   </t>
  </si>
  <si>
    <t xml:space="preserve"> CBOE1615M28-E   </t>
  </si>
  <si>
    <t xml:space="preserve"> CBOE1615M29.5-E   </t>
  </si>
  <si>
    <t xml:space="preserve"> CBOE1615M33-E   </t>
  </si>
  <si>
    <t xml:space="preserve"> CBOE1615M34.5-E   </t>
  </si>
  <si>
    <t xml:space="preserve"> CBOE1615M38-E   </t>
  </si>
  <si>
    <t xml:space="preserve"> CBOE1615M39.5-E   </t>
  </si>
  <si>
    <t xml:space="preserve"> CBOE1615M43-E   </t>
  </si>
  <si>
    <t xml:space="preserve"> CBOE1615M44.5-E   </t>
  </si>
  <si>
    <t xml:space="preserve"> CBOE1615M47-E   </t>
  </si>
  <si>
    <t xml:space="preserve"> CBOE1615M49.5-E   </t>
  </si>
  <si>
    <t xml:space="preserve"> CBOE1615M52-E   </t>
  </si>
  <si>
    <t xml:space="preserve"> CBOE1615M54.5-E   </t>
  </si>
  <si>
    <t xml:space="preserve"> CBOE1615M57-E   </t>
  </si>
  <si>
    <t xml:space="preserve"> CBOE1615M59.5-E   </t>
  </si>
  <si>
    <t xml:space="preserve"> CBOE1615M62.5-E   </t>
  </si>
  <si>
    <t xml:space="preserve"> CBOE1615M64.5-E   </t>
  </si>
  <si>
    <t xml:space="preserve"> CBOE1615M67.5-E   </t>
  </si>
  <si>
    <t xml:space="preserve"> CBOE1615M69.5-E   </t>
  </si>
  <si>
    <t xml:space="preserve"> CBOE1615M72.5-E   </t>
  </si>
  <si>
    <t xml:space="preserve"> CBOE1615M74.5-E   </t>
  </si>
  <si>
    <t xml:space="preserve"> CBOE1615M80-E   </t>
  </si>
  <si>
    <t xml:space="preserve"> CBOE1615M85-E   </t>
  </si>
  <si>
    <t xml:space="preserve"> CBOE1615M90-E   </t>
  </si>
  <si>
    <t xml:space="preserve"> CBOE1720A32.5-E   </t>
  </si>
  <si>
    <t xml:space="preserve"> CBOE1720A35-E   </t>
  </si>
  <si>
    <t xml:space="preserve"> CBOE1720A37.5-E   </t>
  </si>
  <si>
    <t xml:space="preserve"> CBOE1720A40-E   </t>
  </si>
  <si>
    <t xml:space="preserve"> CBOE1720A42.5-E   </t>
  </si>
  <si>
    <t xml:space="preserve"> CBOE1720A45-E   </t>
  </si>
  <si>
    <t xml:space="preserve"> CBOE1720A47.5-E   </t>
  </si>
  <si>
    <t xml:space="preserve"> CBOE1720A50-E   </t>
  </si>
  <si>
    <t xml:space="preserve"> CBOE1720A52.5-E   </t>
  </si>
  <si>
    <t xml:space="preserve"> CBOE1720A55-E   </t>
  </si>
  <si>
    <t xml:space="preserve"> CBOE1720A57.5-E   </t>
  </si>
  <si>
    <t xml:space="preserve"> CBOE1720A60-E   </t>
  </si>
  <si>
    <t xml:space="preserve"> CBOE1720A62.5-E   </t>
  </si>
  <si>
    <t xml:space="preserve"> CBOE1720A65-E   </t>
  </si>
  <si>
    <t xml:space="preserve"> CBOE1720A67.5-E   </t>
  </si>
  <si>
    <t xml:space="preserve"> CBOE1720A70-E   </t>
  </si>
  <si>
    <t xml:space="preserve"> CBOE1720A72.5-E   </t>
  </si>
  <si>
    <t xml:space="preserve"> CBOE1720A75-E   </t>
  </si>
  <si>
    <t xml:space="preserve"> CBOE1720A80-E   </t>
  </si>
  <si>
    <t xml:space="preserve"> CBOE1720A85-E   </t>
  </si>
  <si>
    <t xml:space="preserve"> CBOE1720A90-E   </t>
  </si>
  <si>
    <t xml:space="preserve"> CBOE1720A95-E   </t>
  </si>
  <si>
    <t xml:space="preserve"> CBOE1720A100-E   </t>
  </si>
  <si>
    <t xml:space="preserve"> CBOE1720M32.5-E   </t>
  </si>
  <si>
    <t xml:space="preserve"> CBOE1720M35-E   </t>
  </si>
  <si>
    <t xml:space="preserve"> CBOE1720M37.5-E   </t>
  </si>
  <si>
    <t xml:space="preserve"> CBOE1720M40-E   </t>
  </si>
  <si>
    <t xml:space="preserve"> CBOE1720M42.5-E   </t>
  </si>
  <si>
    <t xml:space="preserve"> CBOE1720M45-E   </t>
  </si>
  <si>
    <t xml:space="preserve"> CBOE1720M47.5-E   </t>
  </si>
  <si>
    <t xml:space="preserve"> CBOE1720M50-E   </t>
  </si>
  <si>
    <t xml:space="preserve"> CBOE1720M52.5-E   </t>
  </si>
  <si>
    <t xml:space="preserve"> CBOE1720M55-E   </t>
  </si>
  <si>
    <t xml:space="preserve"> CBOE1720M57.5-E   </t>
  </si>
  <si>
    <t xml:space="preserve"> CBOE1720M60-E   </t>
  </si>
  <si>
    <t xml:space="preserve"> CBOE1720M62.5-E   </t>
  </si>
  <si>
    <t xml:space="preserve"> CBOE1720M65-E   </t>
  </si>
  <si>
    <t xml:space="preserve"> CBOE1720M67.5-E   </t>
  </si>
  <si>
    <t xml:space="preserve"> CBOE1720M70-E   </t>
  </si>
  <si>
    <t xml:space="preserve"> CBOE1720M72.5-E   </t>
  </si>
  <si>
    <t xml:space="preserve"> CBOE1720M75-E   </t>
  </si>
  <si>
    <t xml:space="preserve"> CBOE1720M80-E   </t>
  </si>
  <si>
    <t xml:space="preserve"> CBOE1720M85-E   </t>
  </si>
  <si>
    <t xml:space="preserve"> CBOE1720M90-E   </t>
  </si>
  <si>
    <t xml:space="preserve"> CBOE1720M95-E   </t>
  </si>
  <si>
    <t xml:space="preserve"> CBOE1720M100-E   </t>
  </si>
  <si>
    <t xml:space="preserve">Feb 09, 2015 @ 22:23 ET </t>
  </si>
  <si>
    <t>PFE</t>
  </si>
  <si>
    <t>PFE160422C00021000</t>
  </si>
  <si>
    <t>PFE160422P00021000</t>
  </si>
  <si>
    <t>PFE160422C00022000</t>
  </si>
  <si>
    <t>PFE160422P00022000</t>
  </si>
  <si>
    <t>PFE160422C00022500</t>
  </si>
  <si>
    <t>PFE160422P00022500</t>
  </si>
  <si>
    <t>PFE160422C00023000</t>
  </si>
  <si>
    <t>PFE160422P00023000</t>
  </si>
  <si>
    <t>PFE160422C00023500</t>
  </si>
  <si>
    <t>PFE160422P00023500</t>
  </si>
  <si>
    <t>PFE160422C00024000</t>
  </si>
  <si>
    <t>PFE160422P00024000</t>
  </si>
  <si>
    <t>PFE160422C00024500</t>
  </si>
  <si>
    <t>PFE160422P00024500</t>
  </si>
  <si>
    <t>PFE160422C00025000</t>
  </si>
  <si>
    <t>PFE160422P00025000</t>
  </si>
  <si>
    <t>PFE160422C00025500</t>
  </si>
  <si>
    <t>PFE160422P00025500</t>
  </si>
  <si>
    <t>PFE160422C00026000</t>
  </si>
  <si>
    <t>PFE160422P00026000</t>
  </si>
  <si>
    <t>PFE160422C00026500</t>
  </si>
  <si>
    <t>PFE160422P00026500</t>
  </si>
  <si>
    <t>PFE160422C00027000</t>
  </si>
  <si>
    <t>PFE160422P00027000</t>
  </si>
  <si>
    <t>PFE160422C00027500</t>
  </si>
  <si>
    <t>PFE160422P00027500</t>
  </si>
  <si>
    <t>PFE160422C00028000</t>
  </si>
  <si>
    <t>PFE160422P00028000</t>
  </si>
  <si>
    <t>PFE160422C00028500</t>
  </si>
  <si>
    <t>PFE160422P00028500</t>
  </si>
  <si>
    <t>PFE160422C00029000</t>
  </si>
  <si>
    <t>PFE160422P00029000</t>
  </si>
  <si>
    <t>PFE160422C00029500</t>
  </si>
  <si>
    <t>PFE160422P00029500</t>
  </si>
  <si>
    <t>PFE160422C00030000</t>
  </si>
  <si>
    <t>PFE160422P00030000</t>
  </si>
  <si>
    <t>PFE160422C00030500</t>
  </si>
  <si>
    <t>PFE160422P00030500</t>
  </si>
  <si>
    <t>PFE160422C00031000</t>
  </si>
  <si>
    <t>PFE160422P00031000</t>
  </si>
  <si>
    <t>PFE160422C00031500</t>
  </si>
  <si>
    <t>PFE160422P00031500</t>
  </si>
  <si>
    <t>PFE160422C00032000</t>
  </si>
  <si>
    <t>PFE160422P00032000</t>
  </si>
  <si>
    <t>PFE160422C00032500</t>
  </si>
  <si>
    <t>PFE160422P00032500</t>
  </si>
  <si>
    <t>PFE160422C00033000</t>
  </si>
  <si>
    <t>PFE160422P00033000</t>
  </si>
  <si>
    <t>PFE160422C00033500</t>
  </si>
  <si>
    <t>PFE160422P00033500</t>
  </si>
  <si>
    <t>PFE160422C00034000</t>
  </si>
  <si>
    <t>PFE160422P00034000</t>
  </si>
  <si>
    <t>PFE160422C00034500</t>
  </si>
  <si>
    <t>PFE160422P00034500</t>
  </si>
  <si>
    <t>PFE160422C00035000</t>
  </si>
  <si>
    <t>PFE160422P00035000</t>
  </si>
  <si>
    <t>PFE160422C00035500</t>
  </si>
  <si>
    <t>PFE160422P00035500</t>
  </si>
  <si>
    <t>PFE160422C00036000</t>
  </si>
  <si>
    <t>PFE160422P00036000</t>
  </si>
  <si>
    <t>PFE160422C00036500</t>
  </si>
  <si>
    <t>PFE160422P00036500</t>
  </si>
  <si>
    <t>PFE160422C00037000</t>
  </si>
  <si>
    <t>PFE160422P00037000</t>
  </si>
  <si>
    <t>PFE160422C00037500</t>
  </si>
  <si>
    <t>PFE160422P00037500</t>
  </si>
  <si>
    <t>PFE160422C00038000</t>
  </si>
  <si>
    <t>PFE160422P00038000</t>
  </si>
  <si>
    <t>PFE160422C00038500</t>
  </si>
  <si>
    <t>PFE160422P00038500</t>
  </si>
  <si>
    <t>PFE160422C00039000</t>
  </si>
  <si>
    <t>PFE160422P00039000</t>
  </si>
  <si>
    <t>PFE160422C00039500</t>
  </si>
  <si>
    <t>PFE160422P00039500</t>
  </si>
  <si>
    <t>PFE160422C00040000</t>
  </si>
  <si>
    <t>PFE160422P00040000</t>
  </si>
  <si>
    <t>PFE160429C00020000</t>
  </si>
  <si>
    <t>PFE160429P00020000</t>
  </si>
  <si>
    <t>PFE160429C00021000</t>
  </si>
  <si>
    <t>PFE160429P00021000</t>
  </si>
  <si>
    <t>PFE160429C00022000</t>
  </si>
  <si>
    <t>PFE160429P00022000</t>
  </si>
  <si>
    <t>PFE160429C00022500</t>
  </si>
  <si>
    <t>PFE160429P00022500</t>
  </si>
  <si>
    <t>PFE160429C00023000</t>
  </si>
  <si>
    <t>PFE160429P00023000</t>
  </si>
  <si>
    <t>PFE160429C00023500</t>
  </si>
  <si>
    <t>PFE160429P00023500</t>
  </si>
  <si>
    <t>PFE160429C00024000</t>
  </si>
  <si>
    <t>PFE160429P00024000</t>
  </si>
  <si>
    <t>PFE160429C00024500</t>
  </si>
  <si>
    <t>PFE160429P00024500</t>
  </si>
  <si>
    <t>PFE160429C00025000</t>
  </si>
  <si>
    <t>PFE160429P00025000</t>
  </si>
  <si>
    <t>PFE160429C00025500</t>
  </si>
  <si>
    <t>PFE160429P00025500</t>
  </si>
  <si>
    <t>PFE160429C00026000</t>
  </si>
  <si>
    <t>PFE160429P00026000</t>
  </si>
  <si>
    <t>PFE160429C00026500</t>
  </si>
  <si>
    <t>PFE160429P00026500</t>
  </si>
  <si>
    <t>PFE160429C00027000</t>
  </si>
  <si>
    <t>PFE160429P00027000</t>
  </si>
  <si>
    <t>PFE160429C00027500</t>
  </si>
  <si>
    <t>PFE160429P00027500</t>
  </si>
  <si>
    <t>PFE160429C00028000</t>
  </si>
  <si>
    <t>PFE160429P00028000</t>
  </si>
  <si>
    <t>PFE160429C00028500</t>
  </si>
  <si>
    <t>PFE160429P00028500</t>
  </si>
  <si>
    <t>PFE160429C00029000</t>
  </si>
  <si>
    <t>PFE160429P00029000</t>
  </si>
  <si>
    <t>PFE160429C00029500</t>
  </si>
  <si>
    <t>PFE160429P00029500</t>
  </si>
  <si>
    <t>PFE160429C00030000</t>
  </si>
  <si>
    <t>PFE160429P00030000</t>
  </si>
  <si>
    <t>PFE160429C00030500</t>
  </si>
  <si>
    <t>PFE160429P00030500</t>
  </si>
  <si>
    <t>PFE160429C00031000</t>
  </si>
  <si>
    <t>PFE160429P00031000</t>
  </si>
  <si>
    <t>PFE160429C00031500</t>
  </si>
  <si>
    <t>PFE160429P00031500</t>
  </si>
  <si>
    <t>PFE160429C00032000</t>
  </si>
  <si>
    <t>PFE160429P00032000</t>
  </si>
  <si>
    <t>PFE160429C00032500</t>
  </si>
  <si>
    <t>PFE160429P00032500</t>
  </si>
  <si>
    <t>PFE160429C00033000</t>
  </si>
  <si>
    <t>PFE160429P00033000</t>
  </si>
  <si>
    <t>PFE160429C00033500</t>
  </si>
  <si>
    <t>PFE160429P00033500</t>
  </si>
  <si>
    <t>PFE160429C00034000</t>
  </si>
  <si>
    <t>PFE160429P00034000</t>
  </si>
  <si>
    <t>PFE160429C00034500</t>
  </si>
  <si>
    <t>PFE160429P00034500</t>
  </si>
  <si>
    <t>PFE160429C00035000</t>
  </si>
  <si>
    <t>PFE160429P00035000</t>
  </si>
  <si>
    <t>PFE160429C00035500</t>
  </si>
  <si>
    <t>PFE160429P00035500</t>
  </si>
  <si>
    <t>PFE160429C00036000</t>
  </si>
  <si>
    <t>PFE160429P00036000</t>
  </si>
  <si>
    <t>PFE160429C00036500</t>
  </si>
  <si>
    <t>PFE160429P00036500</t>
  </si>
  <si>
    <t>PFE160429C00037000</t>
  </si>
  <si>
    <t>PFE160429P00037000</t>
  </si>
  <si>
    <t>PFE160429C00037500</t>
  </si>
  <si>
    <t>PFE160429P00037500</t>
  </si>
  <si>
    <t>PFE160429C00038000</t>
  </si>
  <si>
    <t>PFE160429P00038000</t>
  </si>
  <si>
    <t>PFE160429C00038500</t>
  </si>
  <si>
    <t>PFE160429P00038500</t>
  </si>
  <si>
    <t>PFE160429C00039000</t>
  </si>
  <si>
    <t>PFE160429P00039000</t>
  </si>
  <si>
    <t>PFE160429C00039500</t>
  </si>
  <si>
    <t>PFE160429P00039500</t>
  </si>
  <si>
    <t>PFE160506C00025000</t>
  </si>
  <si>
    <t>PFE160506P00025000</t>
  </si>
  <si>
    <t>PFE160506C00028000</t>
  </si>
  <si>
    <t>PFE160506P00028000</t>
  </si>
  <si>
    <t>PFE160506C00028500</t>
  </si>
  <si>
    <t>PFE160506P00028500</t>
  </si>
  <si>
    <t>PFE160506C00029000</t>
  </si>
  <si>
    <t>PFE160506P00029000</t>
  </si>
  <si>
    <t>PFE160506C00029500</t>
  </si>
  <si>
    <t>PFE160506P00029500</t>
  </si>
  <si>
    <t>PFE160506C00030000</t>
  </si>
  <si>
    <t>PFE160506P00030000</t>
  </si>
  <si>
    <t>PFE160506C00030500</t>
  </si>
  <si>
    <t>PFE160506P00030500</t>
  </si>
  <si>
    <t>PFE160506C00031000</t>
  </si>
  <si>
    <t>PFE160506P00031000</t>
  </si>
  <si>
    <t>PFE160506C00031500</t>
  </si>
  <si>
    <t>PFE160506P00031500</t>
  </si>
  <si>
    <t>PFE160506C00032000</t>
  </si>
  <si>
    <t>PFE160506P00032000</t>
  </si>
  <si>
    <t>PFE160506C00032500</t>
  </si>
  <si>
    <t>PFE160506P00032500</t>
  </si>
  <si>
    <t>PFE160506C00033000</t>
  </si>
  <si>
    <t>PFE160506P00033000</t>
  </si>
  <si>
    <t>PFE160506C00033500</t>
  </si>
  <si>
    <t>PFE160506P00033500</t>
  </si>
  <si>
    <t>PFE160506C00034000</t>
  </si>
  <si>
    <t>PFE160506P00034000</t>
  </si>
  <si>
    <t>PFE160506C00034500</t>
  </si>
  <si>
    <t>PFE160506P00034500</t>
  </si>
  <si>
    <t>PFE160506C00035000</t>
  </si>
  <si>
    <t>PFE160506P00035000</t>
  </si>
  <si>
    <t>PFE160506C00035500</t>
  </si>
  <si>
    <t>PFE160506P00035500</t>
  </si>
  <si>
    <t>PFE160506C00037000</t>
  </si>
  <si>
    <t>PFE160506P00037000</t>
  </si>
  <si>
    <t>PFE160506C00038000</t>
  </si>
  <si>
    <t>PFE160506P00038000</t>
  </si>
  <si>
    <t>PFE160506C00040000</t>
  </si>
  <si>
    <t>PFE160506P00040000</t>
  </si>
  <si>
    <t>PFE160513C00028000</t>
  </si>
  <si>
    <t>PFE160513P00028000</t>
  </si>
  <si>
    <t>PFE160513C00028500</t>
  </si>
  <si>
    <t>PFE160513P00028500</t>
  </si>
  <si>
    <t>PFE160513C00029000</t>
  </si>
  <si>
    <t>PFE160513P00029000</t>
  </si>
  <si>
    <t>PFE160513C00029500</t>
  </si>
  <si>
    <t>PFE160513P00029500</t>
  </si>
  <si>
    <t>PFE160513C00030000</t>
  </si>
  <si>
    <t>PFE160513P00030000</t>
  </si>
  <si>
    <t>PFE160513C00030500</t>
  </si>
  <si>
    <t>PFE160513P00030500</t>
  </si>
  <si>
    <t>PFE160513C00031000</t>
  </si>
  <si>
    <t>PFE160513P00031000</t>
  </si>
  <si>
    <t>PFE160513C00031500</t>
  </si>
  <si>
    <t>PFE160513P00031500</t>
  </si>
  <si>
    <t>PFE160513C00032000</t>
  </si>
  <si>
    <t>PFE160513P00032000</t>
  </si>
  <si>
    <t>PFE160513C00032500</t>
  </si>
  <si>
    <t>PFE160513P00032500</t>
  </si>
  <si>
    <t>PFE160513C00033000</t>
  </si>
  <si>
    <t>PFE160513P00033000</t>
  </si>
  <si>
    <t>PFE160513C00033500</t>
  </si>
  <si>
    <t>PFE160513P00033500</t>
  </si>
  <si>
    <t>PFE160513C00034000</t>
  </si>
  <si>
    <t>PFE160513P00034000</t>
  </si>
  <si>
    <t>PFE160513C00034500</t>
  </si>
  <si>
    <t>PFE160513P00034500</t>
  </si>
  <si>
    <t>PFE160513C00035000</t>
  </si>
  <si>
    <t>PFE160513P00035000</t>
  </si>
  <si>
    <t>PFE160520C00020000</t>
  </si>
  <si>
    <t>PFE160520P00020000</t>
  </si>
  <si>
    <t>PFE160520C00021000</t>
  </si>
  <si>
    <t>PFE160520P00021000</t>
  </si>
  <si>
    <t>PFE160520C00022000</t>
  </si>
  <si>
    <t>PFE160520P00022000</t>
  </si>
  <si>
    <t>PFE160520C00023000</t>
  </si>
  <si>
    <t>PFE160520P00023000</t>
  </si>
  <si>
    <t>PFE160520C00024000</t>
  </si>
  <si>
    <t>PFE160520P00024000</t>
  </si>
  <si>
    <t>PFE160520C00025000</t>
  </si>
  <si>
    <t>PFE160520P00025000</t>
  </si>
  <si>
    <t>PFE160520C00026000</t>
  </si>
  <si>
    <t>PFE160520P00026000</t>
  </si>
  <si>
    <t>PFE160520C00027000</t>
  </si>
  <si>
    <t>PFE160520P00027000</t>
  </si>
  <si>
    <t>PFE160520C00028000</t>
  </si>
  <si>
    <t>PFE160520P00028000</t>
  </si>
  <si>
    <t>PFE160520C00029000</t>
  </si>
  <si>
    <t>PFE160520P00029000</t>
  </si>
  <si>
    <t>PFE160520C00029500</t>
  </si>
  <si>
    <t>PFE160520P00029500</t>
  </si>
  <si>
    <t>PFE160520C00030000</t>
  </si>
  <si>
    <t>PFE160520P00030000</t>
  </si>
  <si>
    <t>PFE160520C00030500</t>
  </si>
  <si>
    <t>PFE160520P00030500</t>
  </si>
  <si>
    <t>PFE160520C00031000</t>
  </si>
  <si>
    <t>PFE160520P00031000</t>
  </si>
  <si>
    <t>PFE160520C00031500</t>
  </si>
  <si>
    <t>PFE160520P00031500</t>
  </si>
  <si>
    <t>PFE160520C00032000</t>
  </si>
  <si>
    <t>PFE160520P00032000</t>
  </si>
  <si>
    <t>PFE160520C00032500</t>
  </si>
  <si>
    <t>PFE160520P00032500</t>
  </si>
  <si>
    <t>PFE160520C00033000</t>
  </si>
  <si>
    <t>PFE160520P00033000</t>
  </si>
  <si>
    <t>PFE160520C00033500</t>
  </si>
  <si>
    <t>PFE160520P00033500</t>
  </si>
  <si>
    <t>PFE160520C00034000</t>
  </si>
  <si>
    <t>PFE160520P00034000</t>
  </si>
  <si>
    <t>PFE160520C00035000</t>
  </si>
  <si>
    <t>PFE160520P00035000</t>
  </si>
  <si>
    <t>PFE160520C00036000</t>
  </si>
  <si>
    <t>PFE160520P00036000</t>
  </si>
  <si>
    <t>PFE160520C00037000</t>
  </si>
  <si>
    <t>PFE160520P00037000</t>
  </si>
  <si>
    <t>PFE160520C00038000</t>
  </si>
  <si>
    <t>PFE160520P00038000</t>
  </si>
  <si>
    <t>PFE160520C00039000</t>
  </si>
  <si>
    <t>PFE160520P00039000</t>
  </si>
  <si>
    <t>PFE160527C00027500</t>
  </si>
  <si>
    <t>PFE160527P00027500</t>
  </si>
  <si>
    <t>PFE160527C00029500</t>
  </si>
  <si>
    <t>PFE160527P00029500</t>
  </si>
  <si>
    <t>PFE160527C00030000</t>
  </si>
  <si>
    <t>PFE160527P00030000</t>
  </si>
  <si>
    <t>PFE160527C00030500</t>
  </si>
  <si>
    <t>PFE160527P00030500</t>
  </si>
  <si>
    <t>PFE160527C00031000</t>
  </si>
  <si>
    <t>PFE160527P00031000</t>
  </si>
  <si>
    <t>PFE160527C00031500</t>
  </si>
  <si>
    <t>PFE160527P00031500</t>
  </si>
  <si>
    <t>PFE160527C00032000</t>
  </si>
  <si>
    <t>PFE160527P00032000</t>
  </si>
  <si>
    <t>PFE160527C00032500</t>
  </si>
  <si>
    <t>PFE160527P00032500</t>
  </si>
  <si>
    <t>PFE160527C00033000</t>
  </si>
  <si>
    <t>PFE160527P00033000</t>
  </si>
  <si>
    <t>PFE160527C00033500</t>
  </si>
  <si>
    <t>PFE160527P00033500</t>
  </si>
  <si>
    <t>PFE160527C00034000</t>
  </si>
  <si>
    <t>PFE160527P00034000</t>
  </si>
  <si>
    <t>PFE160617C00016000</t>
  </si>
  <si>
    <t>PFE160617P00016000</t>
  </si>
  <si>
    <t>PFE160617C00017000</t>
  </si>
  <si>
    <t>PFE160617P00017000</t>
  </si>
  <si>
    <t>PFE160617C00018000</t>
  </si>
  <si>
    <t>PFE160617P00018000</t>
  </si>
  <si>
    <t>PFE160617C00019000</t>
  </si>
  <si>
    <t>PFE160617P00019000</t>
  </si>
  <si>
    <t>PFE160617C00020000</t>
  </si>
  <si>
    <t>PFE160617P00020000</t>
  </si>
  <si>
    <t>PFE160617C00021000</t>
  </si>
  <si>
    <t>PFE160617P00021000</t>
  </si>
  <si>
    <t>PFE160617C00022000</t>
  </si>
  <si>
    <t>PFE160617P00022000</t>
  </si>
  <si>
    <t>PFE160617C00023000</t>
  </si>
  <si>
    <t>PFE160617P00023000</t>
  </si>
  <si>
    <t>PFE160617C00024000</t>
  </si>
  <si>
    <t>PFE160617P00024000</t>
  </si>
  <si>
    <t>PFE160617C00025000</t>
  </si>
  <si>
    <t>PFE160617P00025000</t>
  </si>
  <si>
    <t>PFE160617C00026000</t>
  </si>
  <si>
    <t>PFE160617P00026000</t>
  </si>
  <si>
    <t>PFE160617C00027000</t>
  </si>
  <si>
    <t>PFE160617P00027000</t>
  </si>
  <si>
    <t>PFE160617C00028000</t>
  </si>
  <si>
    <t>PFE160617P00028000</t>
  </si>
  <si>
    <t>PFE160617C00029000</t>
  </si>
  <si>
    <t>PFE160617P00029000</t>
  </si>
  <si>
    <t>PFE160617C00030000</t>
  </si>
  <si>
    <t>PFE160617P00030000</t>
  </si>
  <si>
    <t>PFE160617C00031000</t>
  </si>
  <si>
    <t>PFE160617P00031000</t>
  </si>
  <si>
    <t>PFE160617C00032000</t>
  </si>
  <si>
    <t>PFE160617P00032000</t>
  </si>
  <si>
    <t>PFE160617C00033000</t>
  </si>
  <si>
    <t>PFE160617P00033000</t>
  </si>
  <si>
    <t>PFE160617C00034000</t>
  </si>
  <si>
    <t>PFE160617P00034000</t>
  </si>
  <si>
    <t>PFE160617C00035000</t>
  </si>
  <si>
    <t>PFE160617P00035000</t>
  </si>
  <si>
    <t>PFE160617C00036000</t>
  </si>
  <si>
    <t>PFE160617P00036000</t>
  </si>
  <si>
    <t>PFE160617C00037000</t>
  </si>
  <si>
    <t>PFE160617P00037000</t>
  </si>
  <si>
    <t>PFE160617C00038000</t>
  </si>
  <si>
    <t>PFE160617P00038000</t>
  </si>
  <si>
    <t>PFE160617C00039000</t>
  </si>
  <si>
    <t>PFE160617P00039000</t>
  </si>
  <si>
    <t>PFE160617C00040000</t>
  </si>
  <si>
    <t>PFE160617P00040000</t>
  </si>
  <si>
    <t>PFE160617C00041000</t>
  </si>
  <si>
    <t>PFE160617P00041000</t>
  </si>
  <si>
    <t>PFE160617C00042000</t>
  </si>
  <si>
    <t>PFE160617P00042000</t>
  </si>
  <si>
    <t>PFE160617C00043000</t>
  </si>
  <si>
    <t>PFE160617P00043000</t>
  </si>
  <si>
    <t>PFE160617C00044000</t>
  </si>
  <si>
    <t>PFE160617P00044000</t>
  </si>
  <si>
    <t>PFE160617C00045000</t>
  </si>
  <si>
    <t>PFE160617P00045000</t>
  </si>
  <si>
    <t>PFE160617C00046000</t>
  </si>
  <si>
    <t>PFE160617P00046000</t>
  </si>
  <si>
    <t>PFE160715C00021000</t>
  </si>
  <si>
    <t>PFE160715P00021000</t>
  </si>
  <si>
    <t>PFE160715C00023000</t>
  </si>
  <si>
    <t>PFE160715P00023000</t>
  </si>
  <si>
    <t>PFE160715C00024000</t>
  </si>
  <si>
    <t>PFE160715P00024000</t>
  </si>
  <si>
    <t>PFE160715C00025000</t>
  </si>
  <si>
    <t>PFE160715P00025000</t>
  </si>
  <si>
    <t>PFE160715C00026000</t>
  </si>
  <si>
    <t>PFE160715P00026000</t>
  </si>
  <si>
    <t>PFE160715C00027000</t>
  </si>
  <si>
    <t>PFE160715P00027000</t>
  </si>
  <si>
    <t>PFE160715C00028000</t>
  </si>
  <si>
    <t>PFE160715P00028000</t>
  </si>
  <si>
    <t>PFE160715C00029000</t>
  </si>
  <si>
    <t>PFE160715P00029000</t>
  </si>
  <si>
    <t>PFE160715C00030000</t>
  </si>
  <si>
    <t>PFE160715P00030000</t>
  </si>
  <si>
    <t>PFE160715C00031000</t>
  </si>
  <si>
    <t>PFE160715P00031000</t>
  </si>
  <si>
    <t>PFE160715C00032000</t>
  </si>
  <si>
    <t>PFE160715P00032000</t>
  </si>
  <si>
    <t>PFE160715C00033000</t>
  </si>
  <si>
    <t>PFE160715P00033000</t>
  </si>
  <si>
    <t>PFE160715C00034000</t>
  </si>
  <si>
    <t>PFE160715P00034000</t>
  </si>
  <si>
    <t>PFE160715C00035000</t>
  </si>
  <si>
    <t>PFE160715P00035000</t>
  </si>
  <si>
    <t>PFE160715C00036000</t>
  </si>
  <si>
    <t>PFE160715P00036000</t>
  </si>
  <si>
    <t>PFE160715C00037000</t>
  </si>
  <si>
    <t>PFE160715P00037000</t>
  </si>
  <si>
    <t>PFE160715C00038000</t>
  </si>
  <si>
    <t>PFE160715P00038000</t>
  </si>
  <si>
    <t>PFE160715C00039000</t>
  </si>
  <si>
    <t>PFE160715P00039000</t>
  </si>
  <si>
    <t>PFE160819C00028000</t>
  </si>
  <si>
    <t>PFE160819P00028000</t>
  </si>
  <si>
    <t>PFE160819C00029000</t>
  </si>
  <si>
    <t>PFE160819P00029000</t>
  </si>
  <si>
    <t>PFE160819C00031000</t>
  </si>
  <si>
    <t>PFE160819P00031000</t>
  </si>
  <si>
    <t>PFE160819C00032000</t>
  </si>
  <si>
    <t>PFE160819P00032000</t>
  </si>
  <si>
    <t>PFE160819C00033000</t>
  </si>
  <si>
    <t>PFE160819P00033000</t>
  </si>
  <si>
    <t>PFE160819C00034000</t>
  </si>
  <si>
    <t>PFE160819P00034000</t>
  </si>
  <si>
    <t>PFE160819C00035000</t>
  </si>
  <si>
    <t>PFE160819P00035000</t>
  </si>
  <si>
    <t>PFE160819C00036000</t>
  </si>
  <si>
    <t>PFE160819P00036000</t>
  </si>
  <si>
    <t>PFE160916C00016000</t>
  </si>
  <si>
    <t>PFE160916P00016000</t>
  </si>
  <si>
    <t>PFE160916C00017000</t>
  </si>
  <si>
    <t>PFE160916P00017000</t>
  </si>
  <si>
    <t>PFE160916C00018000</t>
  </si>
  <si>
    <t>PFE160916P00018000</t>
  </si>
  <si>
    <t>PFE160916C00019000</t>
  </si>
  <si>
    <t>PFE160916P00019000</t>
  </si>
  <si>
    <t>PFE160916C00020000</t>
  </si>
  <si>
    <t>PFE160916P00020000</t>
  </si>
  <si>
    <t>PFE160916C00021000</t>
  </si>
  <si>
    <t>PFE160916P00021000</t>
  </si>
  <si>
    <t>PFE160916C00022000</t>
  </si>
  <si>
    <t>PFE160916P00022000</t>
  </si>
  <si>
    <t>PFE160916C00023000</t>
  </si>
  <si>
    <t>PFE160916P00023000</t>
  </si>
  <si>
    <t>PFE160916C00024000</t>
  </si>
  <si>
    <t>PFE160916P00024000</t>
  </si>
  <si>
    <t>PFE160916C00025000</t>
  </si>
  <si>
    <t>PFE160916P00025000</t>
  </si>
  <si>
    <t>PFE160916C00026000</t>
  </si>
  <si>
    <t>PFE160916P00026000</t>
  </si>
  <si>
    <t>PFE160916C00027000</t>
  </si>
  <si>
    <t>PFE160916P00027000</t>
  </si>
  <si>
    <t>PFE160916C00028000</t>
  </si>
  <si>
    <t>PFE160916P00028000</t>
  </si>
  <si>
    <t>PFE160916C00029000</t>
  </si>
  <si>
    <t>PFE160916P00029000</t>
  </si>
  <si>
    <t>PFE160916C00030000</t>
  </si>
  <si>
    <t>PFE160916P00030000</t>
  </si>
  <si>
    <t>PFE160916C00031000</t>
  </si>
  <si>
    <t>PFE160916P00031000</t>
  </si>
  <si>
    <t>PFE160916C00032000</t>
  </si>
  <si>
    <t>PFE160916P00032000</t>
  </si>
  <si>
    <t>PFE160916C00033000</t>
  </si>
  <si>
    <t>PFE160916P00033000</t>
  </si>
  <si>
    <t>PFE160916C00034000</t>
  </si>
  <si>
    <t>PFE160916P00034000</t>
  </si>
  <si>
    <t>PFE160916C00035000</t>
  </si>
  <si>
    <t>PFE160916P00035000</t>
  </si>
  <si>
    <t>PFE160916C00036000</t>
  </si>
  <si>
    <t>PFE160916P00036000</t>
  </si>
  <si>
    <t>PFE160916C00037000</t>
  </si>
  <si>
    <t>PFE160916P00037000</t>
  </si>
  <si>
    <t>PFE160916C00038000</t>
  </si>
  <si>
    <t>PFE160916P00038000</t>
  </si>
  <si>
    <t>PFE160916C00039000</t>
  </si>
  <si>
    <t>PFE160916P00039000</t>
  </si>
  <si>
    <t>PFE160916C00040000</t>
  </si>
  <si>
    <t>PFE160916P00040000</t>
  </si>
  <si>
    <t>PFE160916C00041000</t>
  </si>
  <si>
    <t>PFE160916P00041000</t>
  </si>
  <si>
    <t>PFE160916C00042000</t>
  </si>
  <si>
    <t>PFE160916P00042000</t>
  </si>
  <si>
    <t>PFE160916C00043000</t>
  </si>
  <si>
    <t>PFE160916P00043000</t>
  </si>
  <si>
    <t>PFE160916C00044000</t>
  </si>
  <si>
    <t>PFE160916P00044000</t>
  </si>
  <si>
    <t>PFE160916C00045000</t>
  </si>
  <si>
    <t>PFE160916P00045000</t>
  </si>
  <si>
    <t>PFE161216C00017000</t>
  </si>
  <si>
    <t>PFE161216P00017000</t>
  </si>
  <si>
    <t>PFE161216C00018000</t>
  </si>
  <si>
    <t>PFE161216P00018000</t>
  </si>
  <si>
    <t>PFE161216C00020000</t>
  </si>
  <si>
    <t>PFE161216P00020000</t>
  </si>
  <si>
    <t>PFE161216C00021000</t>
  </si>
  <si>
    <t>PFE161216P00021000</t>
  </si>
  <si>
    <t>PFE161216C00022000</t>
  </si>
  <si>
    <t>PFE161216P00022000</t>
  </si>
  <si>
    <t>PFE161216C00023000</t>
  </si>
  <si>
    <t>PFE161216P00023000</t>
  </si>
  <si>
    <t>PFE161216C00024000</t>
  </si>
  <si>
    <t>PFE161216P00024000</t>
  </si>
  <si>
    <t>PFE161216C00025000</t>
  </si>
  <si>
    <t>PFE161216P00025000</t>
  </si>
  <si>
    <t>PFE161216C00026000</t>
  </si>
  <si>
    <t>PFE161216P00026000</t>
  </si>
  <si>
    <t>PFE161216C00027000</t>
  </si>
  <si>
    <t>PFE161216P00027000</t>
  </si>
  <si>
    <t>PFE161216C00028000</t>
  </si>
  <si>
    <t>PFE161216P00028000</t>
  </si>
  <si>
    <t>PFE161216C00029000</t>
  </si>
  <si>
    <t>PFE161216P00029000</t>
  </si>
  <si>
    <t>PFE161216C00030000</t>
  </si>
  <si>
    <t>PFE161216P00030000</t>
  </si>
  <si>
    <t>PFE161216C00031000</t>
  </si>
  <si>
    <t>PFE161216P00031000</t>
  </si>
  <si>
    <t>PFE161216C00032000</t>
  </si>
  <si>
    <t>PFE161216P00032000</t>
  </si>
  <si>
    <t>PFE161216C00033000</t>
  </si>
  <si>
    <t>PFE161216P00033000</t>
  </si>
  <si>
    <t>PFE161216C00034000</t>
  </si>
  <si>
    <t>PFE161216P00034000</t>
  </si>
  <si>
    <t>PFE161216C00035000</t>
  </si>
  <si>
    <t>PFE161216P00035000</t>
  </si>
  <si>
    <t>PFE161216C00036000</t>
  </si>
  <si>
    <t>PFE161216P00036000</t>
  </si>
  <si>
    <t>PFE161216C00037000</t>
  </si>
  <si>
    <t>PFE161216P00037000</t>
  </si>
  <si>
    <t>PFE161216C00038000</t>
  </si>
  <si>
    <t>PFE161216P00038000</t>
  </si>
  <si>
    <t>PFE161216C00039000</t>
  </si>
  <si>
    <t>PFE161216P00039000</t>
  </si>
  <si>
    <t>PFE161216C00040000</t>
  </si>
  <si>
    <t>PFE161216P00040000</t>
  </si>
  <si>
    <t>PFE161216C00042000</t>
  </si>
  <si>
    <t>PFE161216P00042000</t>
  </si>
  <si>
    <t>PFE170120C00018000</t>
  </si>
  <si>
    <t>PFE170120P00018000</t>
  </si>
  <si>
    <t>PFE170120C00020000</t>
  </si>
  <si>
    <t>PFE170120P00020000</t>
  </si>
  <si>
    <t>PFE170120C00023000</t>
  </si>
  <si>
    <t>PFE170120P00023000</t>
  </si>
  <si>
    <t>PFE170120C00025000</t>
  </si>
  <si>
    <t>PFE170120P00025000</t>
  </si>
  <si>
    <t>PFE170120C00028000</t>
  </si>
  <si>
    <t>PFE170120P00028000</t>
  </si>
  <si>
    <t>PFE170120C00030000</t>
  </si>
  <si>
    <t>PFE170120P00030000</t>
  </si>
  <si>
    <t>PFE170120C00032000</t>
  </si>
  <si>
    <t>PFE170120P00032000</t>
  </si>
  <si>
    <t>PFE170120C00035000</t>
  </si>
  <si>
    <t>PFE170120P00035000</t>
  </si>
  <si>
    <t>PFE170120C00037000</t>
  </si>
  <si>
    <t>PFE170120P00037000</t>
  </si>
  <si>
    <t>PFE170120C00040000</t>
  </si>
  <si>
    <t>PFE170120P00040000</t>
  </si>
  <si>
    <t>PFE170120C00042000</t>
  </si>
  <si>
    <t>PFE170120P00042000</t>
  </si>
  <si>
    <t>PFE170120C00045000</t>
  </si>
  <si>
    <t>PFE170120P00045000</t>
  </si>
  <si>
    <t>PFE170120C00047000</t>
  </si>
  <si>
    <t>PFE170120P00047000</t>
  </si>
  <si>
    <t>PFE170120C00050000</t>
  </si>
  <si>
    <t>PFE170120P00050000</t>
  </si>
  <si>
    <t>PFE180119C00015000</t>
  </si>
  <si>
    <t>PFE180119P00015000</t>
  </si>
  <si>
    <t>PFE180119C00018000</t>
  </si>
  <si>
    <t>PFE180119P00018000</t>
  </si>
  <si>
    <t>PFE180119C00020000</t>
  </si>
  <si>
    <t>PFE180119P00020000</t>
  </si>
  <si>
    <t>PFE180119C00023000</t>
  </si>
  <si>
    <t>PFE180119P00023000</t>
  </si>
  <si>
    <t>PFE180119C00025000</t>
  </si>
  <si>
    <t>PFE180119P00025000</t>
  </si>
  <si>
    <t>PFE180119C00028000</t>
  </si>
  <si>
    <t>PFE180119P00028000</t>
  </si>
  <si>
    <t>PFE180119C00030000</t>
  </si>
  <si>
    <t>PFE180119P00030000</t>
  </si>
  <si>
    <t>PFE180119C00032000</t>
  </si>
  <si>
    <t>PFE180119P00032000</t>
  </si>
  <si>
    <t>PFE180119C00035000</t>
  </si>
  <si>
    <t>PFE180119P00035000</t>
  </si>
  <si>
    <t>PFE180119C00037000</t>
  </si>
  <si>
    <t>PFE180119P00037000</t>
  </si>
  <si>
    <t>PFE180119C00040000</t>
  </si>
  <si>
    <t>PFE180119P00040000</t>
  </si>
  <si>
    <t>PFE180119C00042000</t>
  </si>
  <si>
    <t>PFE180119P00042000</t>
  </si>
  <si>
    <t>PFE180119C00045000</t>
  </si>
  <si>
    <t>PFE180119P00045000</t>
  </si>
  <si>
    <t>PFE180119C00050000</t>
  </si>
  <si>
    <t>PFE180119P00050000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</si>
</sst>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sz val="10"/>
      <color indexed="10"/>
      <name val="Calibri"/>
      <family val="2"/>
    </font>
    <font>
      <sz val="10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7" fillId="0" borderId="0" xfId="0" applyFont="1"/>
    <xf numFmtId="0" fontId="6" fillId="0" borderId="0" xfId="0" applyFont="1"/>
    <xf numFmtId="0" fontId="4" fillId="0" borderId="1" xfId="0" applyFont="1" applyBorder="1"/>
    <xf numFmtId="0" fontId="4" fillId="0" borderId="2" xfId="0" applyFont="1" applyBorder="1"/>
    <xf numFmtId="164" fontId="4" fillId="0" borderId="3" xfId="1" applyNumberFormat="1" applyFont="1" applyBorder="1"/>
    <xf numFmtId="164" fontId="4" fillId="0" borderId="4" xfId="1" applyNumberFormat="1" applyFont="1" applyBorder="1"/>
    <xf numFmtId="164" fontId="3" fillId="0" borderId="0" xfId="0" applyNumberFormat="1" applyFont="1"/>
    <xf numFmtId="14" fontId="3" fillId="0" borderId="0" xfId="0" applyNumberFormat="1" applyFont="1"/>
    <xf numFmtId="15" fontId="3" fillId="0" borderId="0" xfId="0" applyNumberFormat="1" applyFont="1"/>
    <xf numFmtId="4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8" fillId="0" borderId="0" xfId="0" applyFont="1"/>
    <xf numFmtId="3" fontId="6" fillId="0" borderId="0" xfId="0" applyNumberFormat="1" applyFont="1" applyAlignment="1">
      <alignment horizontal="right"/>
    </xf>
    <xf numFmtId="0" fontId="1" fillId="0" borderId="0" xfId="0" applyFont="1"/>
    <xf numFmtId="0" fontId="0" fillId="0" borderId="0" xfId="0" applyNumberFormat="1"/>
    <xf numFmtId="0" fontId="5" fillId="0" borderId="0" xfId="0" applyFont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3" fontId="6" fillId="0" borderId="0" xfId="0" applyNumberFormat="1" applyFont="1" applyAlignment="1">
      <alignment horizontal="left" indent="1"/>
    </xf>
    <xf numFmtId="0" fontId="5" fillId="0" borderId="0" xfId="0" applyFont="1" applyAlignment="1">
      <alignment horizontal="right" indent="1"/>
    </xf>
    <xf numFmtId="0" fontId="6" fillId="0" borderId="0" xfId="0" applyFont="1" applyAlignment="1">
      <alignment horizontal="right" inden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edi/Downloads/Price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s and Dividends"/>
      <sheetName val="Prices"/>
    </sheetNames>
    <definedNames>
      <definedName name="vf_GetOption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141"/>
  <sheetViews>
    <sheetView workbookViewId="0">
      <selection activeCell="B3" sqref="B3"/>
    </sheetView>
  </sheetViews>
  <sheetFormatPr defaultColWidth="9.109375" defaultRowHeight="13.8" x14ac:dyDescent="0.3"/>
  <cols>
    <col min="1" max="1" width="4.109375" style="6" customWidth="1"/>
    <col min="2" max="2" width="21.6640625" style="6" bestFit="1" customWidth="1"/>
    <col min="3" max="9" width="11.5546875" style="27" bestFit="1" customWidth="1"/>
    <col min="10" max="10" width="21.6640625" style="6" bestFit="1" customWidth="1"/>
    <col min="11" max="17" width="11.5546875" style="6" bestFit="1" customWidth="1"/>
    <col min="18" max="16384" width="9.109375" style="6"/>
  </cols>
  <sheetData>
    <row r="1" spans="2:17" x14ac:dyDescent="0.3">
      <c r="C1" s="6"/>
      <c r="D1" s="6"/>
      <c r="E1" s="6"/>
      <c r="F1" s="6"/>
      <c r="G1" s="6"/>
      <c r="H1" s="6"/>
      <c r="I1" s="6"/>
    </row>
    <row r="2" spans="2:17" x14ac:dyDescent="0.3">
      <c r="B2" s="2" t="s">
        <v>0</v>
      </c>
      <c r="C2" s="22" t="s">
        <v>514</v>
      </c>
      <c r="D2" s="23"/>
      <c r="E2" s="23"/>
      <c r="F2" s="24" t="str">
        <f>"Change the Ticker symbol in Cell "&amp;ADDRESS(ROW(ticker),COLUMN(ticker),4) &amp; " and press [ENTER]"</f>
        <v>Change the Ticker symbol in Cell B3 and press [ENTER]</v>
      </c>
      <c r="G2" s="23"/>
      <c r="H2" s="23"/>
      <c r="I2" s="6"/>
    </row>
    <row r="3" spans="2:17" x14ac:dyDescent="0.3">
      <c r="B3" s="6" t="s">
        <v>12</v>
      </c>
      <c r="C3" s="23" t="s">
        <v>517</v>
      </c>
      <c r="D3" s="23"/>
      <c r="E3" s="23"/>
      <c r="F3" s="23"/>
      <c r="G3" s="23"/>
      <c r="H3" s="23"/>
      <c r="I3" s="6"/>
    </row>
    <row r="4" spans="2:17" x14ac:dyDescent="0.3">
      <c r="C4" s="23"/>
      <c r="D4" s="22"/>
      <c r="E4" s="23"/>
      <c r="F4" s="23"/>
      <c r="G4" s="23"/>
      <c r="H4" s="23"/>
      <c r="I4" s="6"/>
    </row>
    <row r="5" spans="2:17" x14ac:dyDescent="0.3">
      <c r="B5" s="2" t="s">
        <v>515</v>
      </c>
      <c r="C5" s="22" t="s">
        <v>1</v>
      </c>
      <c r="D5" s="22" t="s">
        <v>2</v>
      </c>
      <c r="E5" s="22" t="s">
        <v>3</v>
      </c>
      <c r="F5" s="22" t="s">
        <v>4</v>
      </c>
      <c r="G5" s="22" t="s">
        <v>516</v>
      </c>
      <c r="H5" s="22" t="s">
        <v>5</v>
      </c>
      <c r="I5" s="6"/>
    </row>
    <row r="6" spans="2:17" x14ac:dyDescent="0.3">
      <c r="B6" s="6" t="s">
        <v>792</v>
      </c>
      <c r="C6" s="23">
        <v>61.33</v>
      </c>
      <c r="D6" s="23">
        <v>-1.125</v>
      </c>
      <c r="E6" s="23">
        <v>61.31</v>
      </c>
      <c r="F6" s="23">
        <v>61.34</v>
      </c>
      <c r="G6" s="23" t="s">
        <v>525</v>
      </c>
      <c r="H6" s="25">
        <v>856087</v>
      </c>
      <c r="I6" s="6"/>
    </row>
    <row r="7" spans="2:17" x14ac:dyDescent="0.3">
      <c r="C7" s="6"/>
      <c r="D7" s="6"/>
      <c r="E7" s="6"/>
      <c r="F7" s="6"/>
      <c r="G7" s="6"/>
      <c r="H7" s="6"/>
      <c r="I7" s="6"/>
    </row>
    <row r="8" spans="2:17" x14ac:dyDescent="0.3">
      <c r="B8" s="2" t="s">
        <v>9</v>
      </c>
      <c r="C8" s="26" t="s">
        <v>518</v>
      </c>
      <c r="D8" s="26" t="s">
        <v>519</v>
      </c>
      <c r="E8" s="26" t="s">
        <v>520</v>
      </c>
      <c r="F8" s="26" t="s">
        <v>521</v>
      </c>
      <c r="G8" s="26" t="s">
        <v>522</v>
      </c>
      <c r="H8" s="26" t="s">
        <v>523</v>
      </c>
      <c r="I8" s="26" t="s">
        <v>524</v>
      </c>
      <c r="J8" s="2" t="s">
        <v>10</v>
      </c>
      <c r="K8" s="26" t="s">
        <v>518</v>
      </c>
      <c r="L8" s="26" t="s">
        <v>519</v>
      </c>
      <c r="M8" s="26" t="s">
        <v>520</v>
      </c>
      <c r="N8" s="26" t="s">
        <v>521</v>
      </c>
      <c r="O8" s="26" t="s">
        <v>522</v>
      </c>
      <c r="P8" s="26" t="s">
        <v>523</v>
      </c>
      <c r="Q8" s="26" t="s">
        <v>524</v>
      </c>
    </row>
    <row r="9" spans="2:17" x14ac:dyDescent="0.3">
      <c r="B9" s="6" t="s">
        <v>526</v>
      </c>
      <c r="C9" s="27">
        <v>50</v>
      </c>
      <c r="D9" s="27">
        <v>0</v>
      </c>
      <c r="E9" s="27">
        <v>0</v>
      </c>
      <c r="F9" s="27">
        <v>11</v>
      </c>
      <c r="G9" s="27">
        <v>12.3</v>
      </c>
      <c r="H9" s="27">
        <v>0</v>
      </c>
      <c r="I9" s="27">
        <v>0</v>
      </c>
      <c r="J9" s="6" t="s">
        <v>538</v>
      </c>
      <c r="K9" s="27">
        <v>50</v>
      </c>
      <c r="L9" s="27">
        <v>0</v>
      </c>
      <c r="M9" s="27">
        <v>0</v>
      </c>
      <c r="N9" s="27">
        <v>0</v>
      </c>
      <c r="O9" s="27">
        <v>0.1</v>
      </c>
      <c r="P9" s="27">
        <v>0</v>
      </c>
      <c r="Q9" s="27">
        <v>123</v>
      </c>
    </row>
    <row r="10" spans="2:17" x14ac:dyDescent="0.3">
      <c r="B10" s="6" t="s">
        <v>527</v>
      </c>
      <c r="C10" s="27">
        <v>52.5</v>
      </c>
      <c r="D10" s="27">
        <v>0</v>
      </c>
      <c r="E10" s="27">
        <v>0</v>
      </c>
      <c r="F10" s="27">
        <v>0</v>
      </c>
      <c r="G10" s="27">
        <v>0</v>
      </c>
      <c r="H10" s="27">
        <v>0</v>
      </c>
      <c r="I10" s="27">
        <v>0</v>
      </c>
      <c r="J10" s="6" t="s">
        <v>539</v>
      </c>
      <c r="K10" s="27">
        <v>52.5</v>
      </c>
      <c r="L10" s="27">
        <v>0</v>
      </c>
      <c r="M10" s="27">
        <v>0</v>
      </c>
      <c r="N10" s="27">
        <v>0</v>
      </c>
      <c r="O10" s="27">
        <v>0</v>
      </c>
      <c r="P10" s="27">
        <v>0</v>
      </c>
      <c r="Q10" s="27">
        <v>0</v>
      </c>
    </row>
    <row r="11" spans="2:17" x14ac:dyDescent="0.3">
      <c r="B11" s="6" t="s">
        <v>528</v>
      </c>
      <c r="C11" s="27">
        <v>55</v>
      </c>
      <c r="D11" s="27">
        <v>0</v>
      </c>
      <c r="E11" s="27">
        <v>0</v>
      </c>
      <c r="F11" s="27">
        <v>5.9</v>
      </c>
      <c r="G11" s="27">
        <v>7.1</v>
      </c>
      <c r="H11" s="27">
        <v>0</v>
      </c>
      <c r="I11" s="27">
        <v>5</v>
      </c>
      <c r="J11" s="6" t="s">
        <v>540</v>
      </c>
      <c r="K11" s="27">
        <v>55</v>
      </c>
      <c r="L11" s="27">
        <v>0</v>
      </c>
      <c r="M11" s="27">
        <v>0</v>
      </c>
      <c r="N11" s="27">
        <v>0</v>
      </c>
      <c r="O11" s="27">
        <v>0.1</v>
      </c>
      <c r="P11" s="27">
        <v>0</v>
      </c>
      <c r="Q11" s="27">
        <v>86</v>
      </c>
    </row>
    <row r="12" spans="2:17" x14ac:dyDescent="0.3">
      <c r="B12" s="6" t="s">
        <v>529</v>
      </c>
      <c r="C12" s="27">
        <v>57.5</v>
      </c>
      <c r="D12" s="27">
        <v>0</v>
      </c>
      <c r="E12" s="27">
        <v>0</v>
      </c>
      <c r="F12" s="27">
        <v>3.7</v>
      </c>
      <c r="G12" s="27">
        <v>4.2</v>
      </c>
      <c r="H12" s="27">
        <v>0</v>
      </c>
      <c r="I12" s="27">
        <v>0</v>
      </c>
      <c r="J12" s="6" t="s">
        <v>541</v>
      </c>
      <c r="K12" s="27">
        <v>57.5</v>
      </c>
      <c r="L12" s="27">
        <v>0.2</v>
      </c>
      <c r="M12" s="27">
        <v>0</v>
      </c>
      <c r="N12" s="27">
        <v>0.05</v>
      </c>
      <c r="O12" s="27">
        <v>0.2</v>
      </c>
      <c r="P12" s="27">
        <v>0</v>
      </c>
      <c r="Q12" s="27">
        <v>423</v>
      </c>
    </row>
    <row r="13" spans="2:17" x14ac:dyDescent="0.3">
      <c r="B13" s="6" t="s">
        <v>530</v>
      </c>
      <c r="C13" s="27">
        <v>60</v>
      </c>
      <c r="D13" s="27">
        <v>1.95</v>
      </c>
      <c r="E13" s="27">
        <v>-3.69</v>
      </c>
      <c r="F13" s="27">
        <v>1.7</v>
      </c>
      <c r="G13" s="27">
        <v>1.9</v>
      </c>
      <c r="H13" s="27">
        <v>58</v>
      </c>
      <c r="I13" s="27">
        <v>115</v>
      </c>
      <c r="J13" s="6" t="s">
        <v>542</v>
      </c>
      <c r="K13" s="27">
        <v>60</v>
      </c>
      <c r="L13" s="27">
        <v>0.45</v>
      </c>
      <c r="M13" s="27">
        <v>0.19</v>
      </c>
      <c r="N13" s="27">
        <v>0.35</v>
      </c>
      <c r="O13" s="27">
        <v>0.5</v>
      </c>
      <c r="P13" s="27">
        <v>5</v>
      </c>
      <c r="Q13" s="27">
        <v>435</v>
      </c>
    </row>
    <row r="14" spans="2:17" x14ac:dyDescent="0.3">
      <c r="B14" s="6" t="s">
        <v>531</v>
      </c>
      <c r="C14" s="27">
        <v>62.5</v>
      </c>
      <c r="D14" s="27">
        <v>0.87</v>
      </c>
      <c r="E14" s="27">
        <v>0</v>
      </c>
      <c r="F14" s="27">
        <v>0.4</v>
      </c>
      <c r="G14" s="27">
        <v>0.5</v>
      </c>
      <c r="H14" s="27">
        <v>0</v>
      </c>
      <c r="I14" s="27">
        <v>644</v>
      </c>
      <c r="J14" s="6" t="s">
        <v>543</v>
      </c>
      <c r="K14" s="27">
        <v>62.5</v>
      </c>
      <c r="L14" s="27">
        <v>0.95</v>
      </c>
      <c r="M14" s="27">
        <v>0</v>
      </c>
      <c r="N14" s="27">
        <v>1.5</v>
      </c>
      <c r="O14" s="27">
        <v>1.7</v>
      </c>
      <c r="P14" s="27">
        <v>0</v>
      </c>
      <c r="Q14" s="27">
        <v>3002</v>
      </c>
    </row>
    <row r="15" spans="2:17" x14ac:dyDescent="0.3">
      <c r="B15" s="6" t="s">
        <v>532</v>
      </c>
      <c r="C15" s="27">
        <v>65</v>
      </c>
      <c r="D15" s="27">
        <v>0.09</v>
      </c>
      <c r="E15" s="27">
        <v>-0.11</v>
      </c>
      <c r="F15" s="27">
        <v>0</v>
      </c>
      <c r="G15" s="27">
        <v>0.1</v>
      </c>
      <c r="H15" s="27">
        <v>5</v>
      </c>
      <c r="I15" s="27">
        <v>1384</v>
      </c>
      <c r="J15" s="6" t="s">
        <v>544</v>
      </c>
      <c r="K15" s="27">
        <v>65</v>
      </c>
      <c r="L15" s="27">
        <v>3.06</v>
      </c>
      <c r="M15" s="27">
        <v>0</v>
      </c>
      <c r="N15" s="27">
        <v>3.5</v>
      </c>
      <c r="O15" s="27">
        <v>3.9</v>
      </c>
      <c r="P15" s="27">
        <v>0</v>
      </c>
      <c r="Q15" s="27">
        <v>544</v>
      </c>
    </row>
    <row r="16" spans="2:17" x14ac:dyDescent="0.3">
      <c r="B16" s="6" t="s">
        <v>533</v>
      </c>
      <c r="C16" s="27">
        <v>67.5</v>
      </c>
      <c r="D16" s="27">
        <v>0.05</v>
      </c>
      <c r="E16" s="27">
        <v>0</v>
      </c>
      <c r="F16" s="27">
        <v>0</v>
      </c>
      <c r="G16" s="27">
        <v>0.05</v>
      </c>
      <c r="H16" s="27">
        <v>0</v>
      </c>
      <c r="I16" s="27">
        <v>1625</v>
      </c>
      <c r="J16" s="6" t="s">
        <v>545</v>
      </c>
      <c r="K16" s="27">
        <v>67.5</v>
      </c>
      <c r="L16" s="27">
        <v>2.4500000000000002</v>
      </c>
      <c r="M16" s="27">
        <v>0</v>
      </c>
      <c r="N16" s="27">
        <v>5.5</v>
      </c>
      <c r="O16" s="27">
        <v>6.4</v>
      </c>
      <c r="P16" s="27">
        <v>0</v>
      </c>
      <c r="Q16" s="27">
        <v>576</v>
      </c>
    </row>
    <row r="17" spans="2:17" x14ac:dyDescent="0.3">
      <c r="B17" s="6" t="s">
        <v>534</v>
      </c>
      <c r="C17" s="27">
        <v>70</v>
      </c>
      <c r="D17" s="27">
        <v>0.04</v>
      </c>
      <c r="E17" s="27">
        <v>0</v>
      </c>
      <c r="F17" s="27">
        <v>0</v>
      </c>
      <c r="G17" s="27">
        <v>0.1</v>
      </c>
      <c r="H17" s="27">
        <v>0</v>
      </c>
      <c r="I17" s="27">
        <v>213</v>
      </c>
      <c r="J17" s="6" t="s">
        <v>546</v>
      </c>
      <c r="K17" s="27">
        <v>70</v>
      </c>
      <c r="L17" s="27">
        <v>8.66</v>
      </c>
      <c r="M17" s="27">
        <v>0</v>
      </c>
      <c r="N17" s="27">
        <v>8</v>
      </c>
      <c r="O17" s="27">
        <v>8.9</v>
      </c>
      <c r="P17" s="27">
        <v>2</v>
      </c>
      <c r="Q17" s="27">
        <v>7</v>
      </c>
    </row>
    <row r="18" spans="2:17" x14ac:dyDescent="0.3">
      <c r="B18" s="6" t="s">
        <v>535</v>
      </c>
      <c r="C18" s="27">
        <v>72.5</v>
      </c>
      <c r="D18" s="27">
        <v>0</v>
      </c>
      <c r="E18" s="27">
        <v>0</v>
      </c>
      <c r="F18" s="27">
        <v>0</v>
      </c>
      <c r="G18" s="27">
        <v>0.1</v>
      </c>
      <c r="H18" s="27">
        <v>0</v>
      </c>
      <c r="I18" s="27">
        <v>21</v>
      </c>
      <c r="J18" s="6" t="s">
        <v>547</v>
      </c>
      <c r="K18" s="27">
        <v>72.5</v>
      </c>
      <c r="L18" s="27">
        <v>7.07</v>
      </c>
      <c r="M18" s="27">
        <v>0</v>
      </c>
      <c r="N18" s="27">
        <v>9.6999999999999993</v>
      </c>
      <c r="O18" s="27">
        <v>12</v>
      </c>
      <c r="P18" s="27">
        <v>0</v>
      </c>
      <c r="Q18" s="27">
        <v>0</v>
      </c>
    </row>
    <row r="19" spans="2:17" x14ac:dyDescent="0.3">
      <c r="B19" s="6" t="s">
        <v>536</v>
      </c>
      <c r="C19" s="27">
        <v>75</v>
      </c>
      <c r="D19" s="27">
        <v>0</v>
      </c>
      <c r="E19" s="27">
        <v>0</v>
      </c>
      <c r="F19" s="27">
        <v>0</v>
      </c>
      <c r="G19" s="27">
        <v>0.1</v>
      </c>
      <c r="H19" s="27">
        <v>0</v>
      </c>
      <c r="I19" s="27">
        <v>0</v>
      </c>
      <c r="J19" s="6" t="s">
        <v>548</v>
      </c>
      <c r="K19" s="27">
        <v>75</v>
      </c>
      <c r="L19" s="27">
        <v>0</v>
      </c>
      <c r="M19" s="27">
        <v>0</v>
      </c>
      <c r="N19" s="27">
        <v>13</v>
      </c>
      <c r="O19" s="27">
        <v>13.9</v>
      </c>
      <c r="P19" s="27">
        <v>0</v>
      </c>
      <c r="Q19" s="27">
        <v>8</v>
      </c>
    </row>
    <row r="20" spans="2:17" x14ac:dyDescent="0.3">
      <c r="B20" s="6" t="s">
        <v>537</v>
      </c>
      <c r="C20" s="27">
        <v>80</v>
      </c>
      <c r="D20" s="27">
        <v>0</v>
      </c>
      <c r="E20" s="27">
        <v>0</v>
      </c>
      <c r="F20" s="27">
        <v>0</v>
      </c>
      <c r="G20" s="27">
        <v>0.1</v>
      </c>
      <c r="H20" s="27">
        <v>0</v>
      </c>
      <c r="I20" s="27">
        <v>0</v>
      </c>
      <c r="J20" s="6" t="s">
        <v>549</v>
      </c>
      <c r="K20" s="27">
        <v>80</v>
      </c>
      <c r="L20" s="27">
        <v>0</v>
      </c>
      <c r="M20" s="27">
        <v>0</v>
      </c>
      <c r="N20" s="27">
        <v>17.600000000000001</v>
      </c>
      <c r="O20" s="27">
        <v>18.899999999999999</v>
      </c>
      <c r="P20" s="27">
        <v>0</v>
      </c>
      <c r="Q20" s="27">
        <v>0</v>
      </c>
    </row>
    <row r="21" spans="2:17" x14ac:dyDescent="0.3">
      <c r="B21" s="6" t="s">
        <v>550</v>
      </c>
      <c r="C21" s="27">
        <v>25</v>
      </c>
      <c r="D21" s="27">
        <v>0</v>
      </c>
      <c r="E21" s="27">
        <v>0</v>
      </c>
      <c r="F21" s="27">
        <v>35.700000000000003</v>
      </c>
      <c r="G21" s="27">
        <v>37.4</v>
      </c>
      <c r="H21" s="27">
        <v>0</v>
      </c>
      <c r="I21" s="27">
        <v>0</v>
      </c>
      <c r="J21" s="6" t="s">
        <v>587</v>
      </c>
      <c r="K21" s="27">
        <v>25</v>
      </c>
      <c r="L21" s="27">
        <v>0</v>
      </c>
      <c r="M21" s="27">
        <v>0</v>
      </c>
      <c r="N21" s="27">
        <v>0</v>
      </c>
      <c r="O21" s="27">
        <v>0.1</v>
      </c>
      <c r="P21" s="27">
        <v>0</v>
      </c>
      <c r="Q21" s="27">
        <v>0</v>
      </c>
    </row>
    <row r="22" spans="2:17" x14ac:dyDescent="0.3">
      <c r="B22" s="6" t="s">
        <v>551</v>
      </c>
      <c r="C22" s="27">
        <v>26</v>
      </c>
      <c r="D22" s="27">
        <v>0</v>
      </c>
      <c r="E22" s="27">
        <v>0</v>
      </c>
      <c r="F22" s="27">
        <v>34.6</v>
      </c>
      <c r="G22" s="27">
        <v>36.4</v>
      </c>
      <c r="H22" s="27">
        <v>0</v>
      </c>
      <c r="I22" s="27">
        <v>10</v>
      </c>
      <c r="J22" s="6" t="s">
        <v>588</v>
      </c>
      <c r="K22" s="27">
        <v>26</v>
      </c>
      <c r="L22" s="27">
        <v>0</v>
      </c>
      <c r="M22" s="27">
        <v>0</v>
      </c>
      <c r="N22" s="27">
        <v>0</v>
      </c>
      <c r="O22" s="27">
        <v>0.1</v>
      </c>
      <c r="P22" s="27">
        <v>0</v>
      </c>
      <c r="Q22" s="27">
        <v>0</v>
      </c>
    </row>
    <row r="23" spans="2:17" x14ac:dyDescent="0.3">
      <c r="B23" s="6" t="s">
        <v>552</v>
      </c>
      <c r="C23" s="27">
        <v>27</v>
      </c>
      <c r="D23" s="27">
        <v>0</v>
      </c>
      <c r="E23" s="27">
        <v>0</v>
      </c>
      <c r="F23" s="27">
        <v>32.1</v>
      </c>
      <c r="G23" s="27">
        <v>36.700000000000003</v>
      </c>
      <c r="H23" s="27">
        <v>0</v>
      </c>
      <c r="I23" s="27">
        <v>0</v>
      </c>
      <c r="J23" s="6" t="s">
        <v>589</v>
      </c>
      <c r="K23" s="27">
        <v>27</v>
      </c>
      <c r="L23" s="27">
        <v>0</v>
      </c>
      <c r="M23" s="27">
        <v>0</v>
      </c>
      <c r="N23" s="27">
        <v>0</v>
      </c>
      <c r="O23" s="27">
        <v>0.1</v>
      </c>
      <c r="P23" s="27">
        <v>0</v>
      </c>
      <c r="Q23" s="27">
        <v>0</v>
      </c>
    </row>
    <row r="24" spans="2:17" x14ac:dyDescent="0.3">
      <c r="B24" s="6" t="s">
        <v>553</v>
      </c>
      <c r="C24" s="27">
        <v>28</v>
      </c>
      <c r="D24" s="27">
        <v>0</v>
      </c>
      <c r="E24" s="27">
        <v>0</v>
      </c>
      <c r="F24" s="27">
        <v>31.7</v>
      </c>
      <c r="G24" s="27">
        <v>35.799999999999997</v>
      </c>
      <c r="H24" s="27">
        <v>0</v>
      </c>
      <c r="I24" s="27">
        <v>0</v>
      </c>
      <c r="J24" s="6" t="s">
        <v>590</v>
      </c>
      <c r="K24" s="27">
        <v>28</v>
      </c>
      <c r="L24" s="27">
        <v>0</v>
      </c>
      <c r="M24" s="27">
        <v>0</v>
      </c>
      <c r="N24" s="27">
        <v>0</v>
      </c>
      <c r="O24" s="27">
        <v>0.1</v>
      </c>
      <c r="P24" s="27">
        <v>0</v>
      </c>
      <c r="Q24" s="27">
        <v>5</v>
      </c>
    </row>
    <row r="25" spans="2:17" x14ac:dyDescent="0.3">
      <c r="B25" s="6" t="s">
        <v>554</v>
      </c>
      <c r="C25" s="27">
        <v>29</v>
      </c>
      <c r="D25" s="27">
        <v>0</v>
      </c>
      <c r="E25" s="27">
        <v>0</v>
      </c>
      <c r="F25" s="27">
        <v>31.9</v>
      </c>
      <c r="G25" s="27">
        <v>33.1</v>
      </c>
      <c r="H25" s="27">
        <v>0</v>
      </c>
      <c r="I25" s="27">
        <v>38</v>
      </c>
      <c r="J25" s="6" t="s">
        <v>591</v>
      </c>
      <c r="K25" s="27">
        <v>29</v>
      </c>
      <c r="L25" s="27">
        <v>0</v>
      </c>
      <c r="M25" s="27">
        <v>0</v>
      </c>
      <c r="N25" s="27">
        <v>0</v>
      </c>
      <c r="O25" s="27">
        <v>0.1</v>
      </c>
      <c r="P25" s="27">
        <v>0</v>
      </c>
      <c r="Q25" s="27">
        <v>10</v>
      </c>
    </row>
    <row r="26" spans="2:17" x14ac:dyDescent="0.3">
      <c r="B26" s="6" t="s">
        <v>555</v>
      </c>
      <c r="C26" s="27">
        <v>30</v>
      </c>
      <c r="D26" s="27">
        <v>0</v>
      </c>
      <c r="E26" s="27">
        <v>0</v>
      </c>
      <c r="F26" s="27">
        <v>29.3</v>
      </c>
      <c r="G26" s="27">
        <v>33.200000000000003</v>
      </c>
      <c r="H26" s="27">
        <v>0</v>
      </c>
      <c r="I26" s="27">
        <v>0</v>
      </c>
      <c r="J26" s="6" t="s">
        <v>592</v>
      </c>
      <c r="K26" s="27">
        <v>30</v>
      </c>
      <c r="L26" s="27">
        <v>0.05</v>
      </c>
      <c r="M26" s="27">
        <v>0</v>
      </c>
      <c r="N26" s="27">
        <v>0</v>
      </c>
      <c r="O26" s="27">
        <v>0.1</v>
      </c>
      <c r="P26" s="27">
        <v>0</v>
      </c>
      <c r="Q26" s="27">
        <v>12</v>
      </c>
    </row>
    <row r="27" spans="2:17" x14ac:dyDescent="0.3">
      <c r="B27" s="6" t="s">
        <v>556</v>
      </c>
      <c r="C27" s="27">
        <v>31</v>
      </c>
      <c r="D27" s="27">
        <v>0</v>
      </c>
      <c r="E27" s="27">
        <v>0</v>
      </c>
      <c r="F27" s="27">
        <v>28.3</v>
      </c>
      <c r="G27" s="27">
        <v>32.5</v>
      </c>
      <c r="H27" s="27">
        <v>0</v>
      </c>
      <c r="I27" s="27">
        <v>0</v>
      </c>
      <c r="J27" s="6" t="s">
        <v>593</v>
      </c>
      <c r="K27" s="27">
        <v>31</v>
      </c>
      <c r="L27" s="27">
        <v>0.05</v>
      </c>
      <c r="M27" s="27">
        <v>0</v>
      </c>
      <c r="N27" s="27">
        <v>0</v>
      </c>
      <c r="O27" s="27">
        <v>0.1</v>
      </c>
      <c r="P27" s="27">
        <v>0</v>
      </c>
      <c r="Q27" s="27">
        <v>1</v>
      </c>
    </row>
    <row r="28" spans="2:17" x14ac:dyDescent="0.3">
      <c r="B28" s="6" t="s">
        <v>557</v>
      </c>
      <c r="C28" s="27">
        <v>32</v>
      </c>
      <c r="D28" s="27">
        <v>0</v>
      </c>
      <c r="E28" s="27">
        <v>0</v>
      </c>
      <c r="F28" s="27">
        <v>27.3</v>
      </c>
      <c r="G28" s="27">
        <v>31.7</v>
      </c>
      <c r="H28" s="27">
        <v>0</v>
      </c>
      <c r="I28" s="27">
        <v>5</v>
      </c>
      <c r="J28" s="6" t="s">
        <v>594</v>
      </c>
      <c r="K28" s="27">
        <v>32</v>
      </c>
      <c r="L28" s="27">
        <v>0.05</v>
      </c>
      <c r="M28" s="27">
        <v>0</v>
      </c>
      <c r="N28" s="27">
        <v>0</v>
      </c>
      <c r="O28" s="27">
        <v>0.1</v>
      </c>
      <c r="P28" s="27">
        <v>0</v>
      </c>
      <c r="Q28" s="27">
        <v>16</v>
      </c>
    </row>
    <row r="29" spans="2:17" x14ac:dyDescent="0.3">
      <c r="B29" s="6" t="s">
        <v>558</v>
      </c>
      <c r="C29" s="27">
        <v>33</v>
      </c>
      <c r="D29" s="27">
        <v>0</v>
      </c>
      <c r="E29" s="27">
        <v>0</v>
      </c>
      <c r="F29" s="27">
        <v>26</v>
      </c>
      <c r="G29" s="27">
        <v>30.9</v>
      </c>
      <c r="H29" s="27">
        <v>0</v>
      </c>
      <c r="I29" s="27">
        <v>0</v>
      </c>
      <c r="J29" s="6" t="s">
        <v>595</v>
      </c>
      <c r="K29" s="27">
        <v>33</v>
      </c>
      <c r="L29" s="27">
        <v>0.05</v>
      </c>
      <c r="M29" s="27">
        <v>0</v>
      </c>
      <c r="N29" s="27">
        <v>0</v>
      </c>
      <c r="O29" s="27">
        <v>0.1</v>
      </c>
      <c r="P29" s="27">
        <v>0</v>
      </c>
      <c r="Q29" s="27">
        <v>16</v>
      </c>
    </row>
    <row r="30" spans="2:17" x14ac:dyDescent="0.3">
      <c r="B30" s="6" t="s">
        <v>559</v>
      </c>
      <c r="C30" s="27">
        <v>34</v>
      </c>
      <c r="D30" s="27">
        <v>0</v>
      </c>
      <c r="E30" s="27">
        <v>0</v>
      </c>
      <c r="F30" s="27">
        <v>25</v>
      </c>
      <c r="G30" s="27">
        <v>29.8</v>
      </c>
      <c r="H30" s="27">
        <v>0</v>
      </c>
      <c r="I30" s="27">
        <v>0</v>
      </c>
      <c r="J30" s="6" t="s">
        <v>596</v>
      </c>
      <c r="K30" s="27">
        <v>34</v>
      </c>
      <c r="L30" s="27">
        <v>0</v>
      </c>
      <c r="M30" s="27">
        <v>0</v>
      </c>
      <c r="N30" s="27">
        <v>0</v>
      </c>
      <c r="O30" s="27">
        <v>0.1</v>
      </c>
      <c r="P30" s="27">
        <v>0</v>
      </c>
      <c r="Q30" s="27">
        <v>10</v>
      </c>
    </row>
    <row r="31" spans="2:17" x14ac:dyDescent="0.3">
      <c r="B31" s="6" t="s">
        <v>560</v>
      </c>
      <c r="C31" s="27">
        <v>35</v>
      </c>
      <c r="D31" s="27">
        <v>0</v>
      </c>
      <c r="E31" s="27">
        <v>0</v>
      </c>
      <c r="F31" s="27">
        <v>24.3</v>
      </c>
      <c r="G31" s="27">
        <v>28.4</v>
      </c>
      <c r="H31" s="27">
        <v>0</v>
      </c>
      <c r="I31" s="27">
        <v>0</v>
      </c>
      <c r="J31" s="6" t="s">
        <v>597</v>
      </c>
      <c r="K31" s="27">
        <v>35</v>
      </c>
      <c r="L31" s="27">
        <v>0.05</v>
      </c>
      <c r="M31" s="27">
        <v>0</v>
      </c>
      <c r="N31" s="27">
        <v>0</v>
      </c>
      <c r="O31" s="27">
        <v>0.1</v>
      </c>
      <c r="P31" s="27">
        <v>0</v>
      </c>
      <c r="Q31" s="27">
        <v>45</v>
      </c>
    </row>
    <row r="32" spans="2:17" x14ac:dyDescent="0.3">
      <c r="B32" s="6" t="s">
        <v>561</v>
      </c>
      <c r="C32" s="27">
        <v>36</v>
      </c>
      <c r="D32" s="27">
        <v>0</v>
      </c>
      <c r="E32" s="27">
        <v>0</v>
      </c>
      <c r="F32" s="27">
        <v>23.3</v>
      </c>
      <c r="G32" s="27">
        <v>27.4</v>
      </c>
      <c r="H32" s="27">
        <v>0</v>
      </c>
      <c r="I32" s="27">
        <v>0</v>
      </c>
      <c r="J32" s="6" t="s">
        <v>598</v>
      </c>
      <c r="K32" s="27">
        <v>36</v>
      </c>
      <c r="L32" s="27">
        <v>0</v>
      </c>
      <c r="M32" s="27">
        <v>0</v>
      </c>
      <c r="N32" s="27">
        <v>0</v>
      </c>
      <c r="O32" s="27">
        <v>0.1</v>
      </c>
      <c r="P32" s="27">
        <v>0</v>
      </c>
      <c r="Q32" s="27">
        <v>31</v>
      </c>
    </row>
    <row r="33" spans="2:17" x14ac:dyDescent="0.3">
      <c r="B33" s="6" t="s">
        <v>562</v>
      </c>
      <c r="C33" s="27">
        <v>37</v>
      </c>
      <c r="D33" s="27">
        <v>0</v>
      </c>
      <c r="E33" s="27">
        <v>0</v>
      </c>
      <c r="F33" s="27">
        <v>22.6</v>
      </c>
      <c r="G33" s="27">
        <v>26.1</v>
      </c>
      <c r="H33" s="27">
        <v>0</v>
      </c>
      <c r="I33" s="27">
        <v>0</v>
      </c>
      <c r="J33" s="6" t="s">
        <v>599</v>
      </c>
      <c r="K33" s="27">
        <v>37</v>
      </c>
      <c r="L33" s="27">
        <v>0</v>
      </c>
      <c r="M33" s="27">
        <v>0</v>
      </c>
      <c r="N33" s="27">
        <v>0</v>
      </c>
      <c r="O33" s="27">
        <v>0.1</v>
      </c>
      <c r="P33" s="27">
        <v>0</v>
      </c>
      <c r="Q33" s="27">
        <v>15</v>
      </c>
    </row>
    <row r="34" spans="2:17" x14ac:dyDescent="0.3">
      <c r="B34" s="6" t="s">
        <v>563</v>
      </c>
      <c r="C34" s="27">
        <v>38</v>
      </c>
      <c r="D34" s="27">
        <v>0</v>
      </c>
      <c r="E34" s="27">
        <v>0</v>
      </c>
      <c r="F34" s="27">
        <v>22.2</v>
      </c>
      <c r="G34" s="27">
        <v>25</v>
      </c>
      <c r="H34" s="27">
        <v>0</v>
      </c>
      <c r="I34" s="27">
        <v>0</v>
      </c>
      <c r="J34" s="6" t="s">
        <v>600</v>
      </c>
      <c r="K34" s="27">
        <v>38</v>
      </c>
      <c r="L34" s="27">
        <v>0.25</v>
      </c>
      <c r="M34" s="27">
        <v>0</v>
      </c>
      <c r="N34" s="27">
        <v>0</v>
      </c>
      <c r="O34" s="27">
        <v>0.1</v>
      </c>
      <c r="P34" s="27">
        <v>0</v>
      </c>
      <c r="Q34" s="27">
        <v>21</v>
      </c>
    </row>
    <row r="35" spans="2:17" x14ac:dyDescent="0.3">
      <c r="B35" s="6" t="s">
        <v>564</v>
      </c>
      <c r="C35" s="27">
        <v>39</v>
      </c>
      <c r="D35" s="27">
        <v>0</v>
      </c>
      <c r="E35" s="27">
        <v>0</v>
      </c>
      <c r="F35" s="27">
        <v>21.3</v>
      </c>
      <c r="G35" s="27">
        <v>24</v>
      </c>
      <c r="H35" s="27">
        <v>0</v>
      </c>
      <c r="I35" s="27">
        <v>0</v>
      </c>
      <c r="J35" s="6" t="s">
        <v>601</v>
      </c>
      <c r="K35" s="27">
        <v>39</v>
      </c>
      <c r="L35" s="27">
        <v>0</v>
      </c>
      <c r="M35" s="27">
        <v>0</v>
      </c>
      <c r="N35" s="27">
        <v>0</v>
      </c>
      <c r="O35" s="27">
        <v>0.1</v>
      </c>
      <c r="P35" s="27">
        <v>0</v>
      </c>
      <c r="Q35" s="27">
        <v>9</v>
      </c>
    </row>
    <row r="36" spans="2:17" x14ac:dyDescent="0.3">
      <c r="B36" s="6" t="s">
        <v>565</v>
      </c>
      <c r="C36" s="27">
        <v>40</v>
      </c>
      <c r="D36" s="27">
        <v>0</v>
      </c>
      <c r="E36" s="27">
        <v>0</v>
      </c>
      <c r="F36" s="27">
        <v>20.6</v>
      </c>
      <c r="G36" s="27">
        <v>22.5</v>
      </c>
      <c r="H36" s="27">
        <v>0</v>
      </c>
      <c r="I36" s="27">
        <v>25</v>
      </c>
      <c r="J36" s="6" t="s">
        <v>602</v>
      </c>
      <c r="K36" s="27">
        <v>40</v>
      </c>
      <c r="L36" s="27">
        <v>0.1</v>
      </c>
      <c r="M36" s="27">
        <v>0</v>
      </c>
      <c r="N36" s="27">
        <v>0</v>
      </c>
      <c r="O36" s="27">
        <v>0.1</v>
      </c>
      <c r="P36" s="27">
        <v>0</v>
      </c>
      <c r="Q36" s="27">
        <v>2</v>
      </c>
    </row>
    <row r="37" spans="2:17" x14ac:dyDescent="0.3">
      <c r="B37" s="6" t="s">
        <v>566</v>
      </c>
      <c r="C37" s="27">
        <v>41</v>
      </c>
      <c r="D37" s="27">
        <v>0</v>
      </c>
      <c r="E37" s="27">
        <v>0</v>
      </c>
      <c r="F37" s="27">
        <v>18.600000000000001</v>
      </c>
      <c r="G37" s="27">
        <v>22.5</v>
      </c>
      <c r="H37" s="27">
        <v>0</v>
      </c>
      <c r="I37" s="27">
        <v>0</v>
      </c>
      <c r="J37" s="6" t="s">
        <v>603</v>
      </c>
      <c r="K37" s="27">
        <v>41</v>
      </c>
      <c r="L37" s="27">
        <v>0</v>
      </c>
      <c r="M37" s="27">
        <v>0</v>
      </c>
      <c r="N37" s="27">
        <v>0</v>
      </c>
      <c r="O37" s="27">
        <v>0.1</v>
      </c>
      <c r="P37" s="27">
        <v>0</v>
      </c>
      <c r="Q37" s="27">
        <v>0</v>
      </c>
    </row>
    <row r="38" spans="2:17" x14ac:dyDescent="0.3">
      <c r="B38" s="6" t="s">
        <v>567</v>
      </c>
      <c r="C38" s="27">
        <v>42</v>
      </c>
      <c r="D38" s="27">
        <v>0</v>
      </c>
      <c r="E38" s="27">
        <v>0</v>
      </c>
      <c r="F38" s="27">
        <v>17.8</v>
      </c>
      <c r="G38" s="27">
        <v>21.5</v>
      </c>
      <c r="H38" s="27">
        <v>0</v>
      </c>
      <c r="I38" s="27">
        <v>0</v>
      </c>
      <c r="J38" s="6" t="s">
        <v>604</v>
      </c>
      <c r="K38" s="27">
        <v>42</v>
      </c>
      <c r="L38" s="27">
        <v>0.05</v>
      </c>
      <c r="M38" s="27">
        <v>0</v>
      </c>
      <c r="N38" s="27">
        <v>0</v>
      </c>
      <c r="O38" s="27">
        <v>0.1</v>
      </c>
      <c r="P38" s="27">
        <v>0</v>
      </c>
      <c r="Q38" s="27">
        <v>20</v>
      </c>
    </row>
    <row r="39" spans="2:17" x14ac:dyDescent="0.3">
      <c r="B39" s="6" t="s">
        <v>568</v>
      </c>
      <c r="C39" s="27">
        <v>43</v>
      </c>
      <c r="D39" s="27">
        <v>0</v>
      </c>
      <c r="E39" s="27">
        <v>0</v>
      </c>
      <c r="F39" s="27">
        <v>16.600000000000001</v>
      </c>
      <c r="G39" s="27">
        <v>20.5</v>
      </c>
      <c r="H39" s="27">
        <v>0</v>
      </c>
      <c r="I39" s="27">
        <v>0</v>
      </c>
      <c r="J39" s="6" t="s">
        <v>605</v>
      </c>
      <c r="K39" s="27">
        <v>43</v>
      </c>
      <c r="L39" s="27">
        <v>0</v>
      </c>
      <c r="M39" s="27">
        <v>0</v>
      </c>
      <c r="N39" s="27">
        <v>0</v>
      </c>
      <c r="O39" s="27">
        <v>0.1</v>
      </c>
      <c r="P39" s="27">
        <v>0</v>
      </c>
      <c r="Q39" s="27">
        <v>0</v>
      </c>
    </row>
    <row r="40" spans="2:17" x14ac:dyDescent="0.3">
      <c r="B40" s="6" t="s">
        <v>569</v>
      </c>
      <c r="C40" s="27">
        <v>44</v>
      </c>
      <c r="D40" s="27">
        <v>0</v>
      </c>
      <c r="E40" s="27">
        <v>0</v>
      </c>
      <c r="F40" s="27">
        <v>16.5</v>
      </c>
      <c r="G40" s="27">
        <v>18.5</v>
      </c>
      <c r="H40" s="27">
        <v>0</v>
      </c>
      <c r="I40" s="27">
        <v>0</v>
      </c>
      <c r="J40" s="6" t="s">
        <v>606</v>
      </c>
      <c r="K40" s="27">
        <v>44</v>
      </c>
      <c r="L40" s="27">
        <v>0.05</v>
      </c>
      <c r="M40" s="27">
        <v>0</v>
      </c>
      <c r="N40" s="27">
        <v>0</v>
      </c>
      <c r="O40" s="27">
        <v>0.1</v>
      </c>
      <c r="P40" s="27">
        <v>0</v>
      </c>
      <c r="Q40" s="27">
        <v>71</v>
      </c>
    </row>
    <row r="41" spans="2:17" x14ac:dyDescent="0.3">
      <c r="B41" s="6" t="s">
        <v>570</v>
      </c>
      <c r="C41" s="27">
        <v>45</v>
      </c>
      <c r="D41" s="27">
        <v>0</v>
      </c>
      <c r="E41" s="27">
        <v>0</v>
      </c>
      <c r="F41" s="27">
        <v>15.5</v>
      </c>
      <c r="G41" s="27">
        <v>17.5</v>
      </c>
      <c r="H41" s="27">
        <v>0</v>
      </c>
      <c r="I41" s="27">
        <v>0</v>
      </c>
      <c r="J41" s="6" t="s">
        <v>607</v>
      </c>
      <c r="K41" s="27">
        <v>45</v>
      </c>
      <c r="L41" s="27">
        <v>0.22</v>
      </c>
      <c r="M41" s="27">
        <v>0</v>
      </c>
      <c r="N41" s="27">
        <v>0</v>
      </c>
      <c r="O41" s="27">
        <v>0.1</v>
      </c>
      <c r="P41" s="27">
        <v>0</v>
      </c>
      <c r="Q41" s="27">
        <v>0</v>
      </c>
    </row>
    <row r="42" spans="2:17" x14ac:dyDescent="0.3">
      <c r="B42" s="6" t="s">
        <v>571</v>
      </c>
      <c r="C42" s="27">
        <v>46</v>
      </c>
      <c r="D42" s="27">
        <v>10.8</v>
      </c>
      <c r="E42" s="27">
        <v>0</v>
      </c>
      <c r="F42" s="27">
        <v>14.8</v>
      </c>
      <c r="G42" s="27">
        <v>16</v>
      </c>
      <c r="H42" s="27">
        <v>0</v>
      </c>
      <c r="I42" s="27">
        <v>57</v>
      </c>
      <c r="J42" s="6" t="s">
        <v>608</v>
      </c>
      <c r="K42" s="27">
        <v>46</v>
      </c>
      <c r="L42" s="27">
        <v>0</v>
      </c>
      <c r="M42" s="27">
        <v>0</v>
      </c>
      <c r="N42" s="27">
        <v>0</v>
      </c>
      <c r="O42" s="27">
        <v>0.1</v>
      </c>
      <c r="P42" s="27">
        <v>0</v>
      </c>
      <c r="Q42" s="27">
        <v>1</v>
      </c>
    </row>
    <row r="43" spans="2:17" x14ac:dyDescent="0.3">
      <c r="B43" s="6" t="s">
        <v>572</v>
      </c>
      <c r="C43" s="27">
        <v>47</v>
      </c>
      <c r="D43" s="27">
        <v>4.7</v>
      </c>
      <c r="E43" s="27">
        <v>0</v>
      </c>
      <c r="F43" s="27">
        <v>14</v>
      </c>
      <c r="G43" s="27">
        <v>15.1</v>
      </c>
      <c r="H43" s="27">
        <v>0</v>
      </c>
      <c r="I43" s="27">
        <v>5</v>
      </c>
      <c r="J43" s="6" t="s">
        <v>609</v>
      </c>
      <c r="K43" s="27">
        <v>47</v>
      </c>
      <c r="L43" s="27">
        <v>0</v>
      </c>
      <c r="M43" s="27">
        <v>0</v>
      </c>
      <c r="N43" s="27">
        <v>0</v>
      </c>
      <c r="O43" s="27">
        <v>0.1</v>
      </c>
      <c r="P43" s="27">
        <v>0</v>
      </c>
      <c r="Q43" s="27">
        <v>43</v>
      </c>
    </row>
    <row r="44" spans="2:17" x14ac:dyDescent="0.3">
      <c r="B44" s="6" t="s">
        <v>573</v>
      </c>
      <c r="C44" s="27">
        <v>48</v>
      </c>
      <c r="D44" s="27">
        <v>0</v>
      </c>
      <c r="E44" s="27">
        <v>0</v>
      </c>
      <c r="F44" s="27">
        <v>12.9</v>
      </c>
      <c r="G44" s="27">
        <v>14.3</v>
      </c>
      <c r="H44" s="27">
        <v>0</v>
      </c>
      <c r="I44" s="27">
        <v>19</v>
      </c>
      <c r="J44" s="6" t="s">
        <v>610</v>
      </c>
      <c r="K44" s="27">
        <v>48</v>
      </c>
      <c r="L44" s="27">
        <v>3.6</v>
      </c>
      <c r="M44" s="27">
        <v>0</v>
      </c>
      <c r="N44" s="27">
        <v>0</v>
      </c>
      <c r="O44" s="27">
        <v>0.1</v>
      </c>
      <c r="P44" s="27">
        <v>0</v>
      </c>
      <c r="Q44" s="27">
        <v>15</v>
      </c>
    </row>
    <row r="45" spans="2:17" x14ac:dyDescent="0.3">
      <c r="B45" s="6" t="s">
        <v>574</v>
      </c>
      <c r="C45" s="27">
        <v>49</v>
      </c>
      <c r="D45" s="27">
        <v>0</v>
      </c>
      <c r="E45" s="27">
        <v>0</v>
      </c>
      <c r="F45" s="27">
        <v>11.9</v>
      </c>
      <c r="G45" s="27">
        <v>13</v>
      </c>
      <c r="H45" s="27">
        <v>0</v>
      </c>
      <c r="I45" s="27">
        <v>26</v>
      </c>
      <c r="J45" s="6" t="s">
        <v>611</v>
      </c>
      <c r="K45" s="27">
        <v>49</v>
      </c>
      <c r="L45" s="27">
        <v>1</v>
      </c>
      <c r="M45" s="27">
        <v>0</v>
      </c>
      <c r="N45" s="27">
        <v>0</v>
      </c>
      <c r="O45" s="27">
        <v>0.15</v>
      </c>
      <c r="P45" s="27">
        <v>0</v>
      </c>
      <c r="Q45" s="27">
        <v>90</v>
      </c>
    </row>
    <row r="46" spans="2:17" x14ac:dyDescent="0.3">
      <c r="B46" s="6" t="s">
        <v>575</v>
      </c>
      <c r="C46" s="27">
        <v>50</v>
      </c>
      <c r="D46" s="27">
        <v>3.78</v>
      </c>
      <c r="E46" s="27">
        <v>0</v>
      </c>
      <c r="F46" s="27">
        <v>11</v>
      </c>
      <c r="G46" s="27">
        <v>11.8</v>
      </c>
      <c r="H46" s="27">
        <v>0</v>
      </c>
      <c r="I46" s="27">
        <v>32</v>
      </c>
      <c r="J46" s="6" t="s">
        <v>612</v>
      </c>
      <c r="K46" s="27">
        <v>50</v>
      </c>
      <c r="L46" s="27">
        <v>0.12</v>
      </c>
      <c r="M46" s="27">
        <v>0</v>
      </c>
      <c r="N46" s="27">
        <v>0</v>
      </c>
      <c r="O46" s="27">
        <v>0.2</v>
      </c>
      <c r="P46" s="27">
        <v>0</v>
      </c>
      <c r="Q46" s="27">
        <v>125</v>
      </c>
    </row>
    <row r="47" spans="2:17" x14ac:dyDescent="0.3">
      <c r="B47" s="6" t="s">
        <v>576</v>
      </c>
      <c r="C47" s="27">
        <v>52.5</v>
      </c>
      <c r="D47" s="27">
        <v>14.5</v>
      </c>
      <c r="E47" s="27">
        <v>0</v>
      </c>
      <c r="F47" s="27">
        <v>8.5</v>
      </c>
      <c r="G47" s="27">
        <v>9.6</v>
      </c>
      <c r="H47" s="27">
        <v>0</v>
      </c>
      <c r="I47" s="27">
        <v>166</v>
      </c>
      <c r="J47" s="6" t="s">
        <v>613</v>
      </c>
      <c r="K47" s="27">
        <v>52.5</v>
      </c>
      <c r="L47" s="27">
        <v>0.12</v>
      </c>
      <c r="M47" s="27">
        <v>0</v>
      </c>
      <c r="N47" s="27">
        <v>0.05</v>
      </c>
      <c r="O47" s="27">
        <v>0.2</v>
      </c>
      <c r="P47" s="27">
        <v>0</v>
      </c>
      <c r="Q47" s="27">
        <v>86</v>
      </c>
    </row>
    <row r="48" spans="2:17" x14ac:dyDescent="0.3">
      <c r="B48" s="6" t="s">
        <v>577</v>
      </c>
      <c r="C48" s="27">
        <v>55</v>
      </c>
      <c r="D48" s="27">
        <v>8.09</v>
      </c>
      <c r="E48" s="27">
        <v>0</v>
      </c>
      <c r="F48" s="27">
        <v>6.3</v>
      </c>
      <c r="G48" s="27">
        <v>6.7</v>
      </c>
      <c r="H48" s="27">
        <v>0</v>
      </c>
      <c r="I48" s="27">
        <v>114</v>
      </c>
      <c r="J48" s="6" t="s">
        <v>614</v>
      </c>
      <c r="K48" s="27">
        <v>55</v>
      </c>
      <c r="L48" s="27">
        <v>0.28000000000000003</v>
      </c>
      <c r="M48" s="27">
        <v>0.03</v>
      </c>
      <c r="N48" s="27">
        <v>0.2</v>
      </c>
      <c r="O48" s="27">
        <v>0.35</v>
      </c>
      <c r="P48" s="27">
        <v>36</v>
      </c>
      <c r="Q48" s="27">
        <v>341</v>
      </c>
    </row>
    <row r="49" spans="2:17" x14ac:dyDescent="0.3">
      <c r="B49" s="6" t="s">
        <v>578</v>
      </c>
      <c r="C49" s="27">
        <v>57.5</v>
      </c>
      <c r="D49" s="27">
        <v>4.33</v>
      </c>
      <c r="E49" s="27">
        <v>-4.96</v>
      </c>
      <c r="F49" s="27">
        <v>4.0999999999999996</v>
      </c>
      <c r="G49" s="27">
        <v>4.5</v>
      </c>
      <c r="H49" s="27">
        <v>5</v>
      </c>
      <c r="I49" s="27">
        <v>436</v>
      </c>
      <c r="J49" s="6" t="s">
        <v>615</v>
      </c>
      <c r="K49" s="27">
        <v>57.5</v>
      </c>
      <c r="L49" s="27">
        <v>0.55000000000000004</v>
      </c>
      <c r="M49" s="27">
        <v>0</v>
      </c>
      <c r="N49" s="27">
        <v>0.5</v>
      </c>
      <c r="O49" s="27">
        <v>0.6</v>
      </c>
      <c r="P49" s="27">
        <v>0</v>
      </c>
      <c r="Q49" s="27">
        <v>291</v>
      </c>
    </row>
    <row r="50" spans="2:17" x14ac:dyDescent="0.3">
      <c r="B50" s="6" t="s">
        <v>579</v>
      </c>
      <c r="C50" s="27">
        <v>60</v>
      </c>
      <c r="D50" s="27">
        <v>2.6</v>
      </c>
      <c r="E50" s="27">
        <v>-0.46</v>
      </c>
      <c r="F50" s="27">
        <v>2.2999999999999998</v>
      </c>
      <c r="G50" s="27">
        <v>2.5499999999999998</v>
      </c>
      <c r="H50" s="27">
        <v>173</v>
      </c>
      <c r="I50" s="27">
        <v>494</v>
      </c>
      <c r="J50" s="6" t="s">
        <v>616</v>
      </c>
      <c r="K50" s="27">
        <v>60</v>
      </c>
      <c r="L50" s="27">
        <v>1.19</v>
      </c>
      <c r="M50" s="27">
        <v>0.33</v>
      </c>
      <c r="N50" s="27">
        <v>1.1499999999999999</v>
      </c>
      <c r="O50" s="27">
        <v>1.3</v>
      </c>
      <c r="P50" s="27">
        <v>75</v>
      </c>
      <c r="Q50" s="27">
        <v>514</v>
      </c>
    </row>
    <row r="51" spans="2:17" x14ac:dyDescent="0.3">
      <c r="B51" s="6" t="s">
        <v>580</v>
      </c>
      <c r="C51" s="27">
        <v>62.5</v>
      </c>
      <c r="D51" s="27">
        <v>1.0900000000000001</v>
      </c>
      <c r="E51" s="27">
        <v>-0.38</v>
      </c>
      <c r="F51" s="27">
        <v>1</v>
      </c>
      <c r="G51" s="27">
        <v>1.2</v>
      </c>
      <c r="H51" s="27">
        <v>59</v>
      </c>
      <c r="I51" s="27">
        <v>1161</v>
      </c>
      <c r="J51" s="6" t="s">
        <v>617</v>
      </c>
      <c r="K51" s="27">
        <v>62.5</v>
      </c>
      <c r="L51" s="27">
        <v>2.34</v>
      </c>
      <c r="M51" s="27">
        <v>0.14000000000000001</v>
      </c>
      <c r="N51" s="27">
        <v>2.35</v>
      </c>
      <c r="O51" s="27">
        <v>2.5499999999999998</v>
      </c>
      <c r="P51" s="27">
        <v>1</v>
      </c>
      <c r="Q51" s="27">
        <v>2968</v>
      </c>
    </row>
    <row r="52" spans="2:17" x14ac:dyDescent="0.3">
      <c r="B52" s="6" t="s">
        <v>581</v>
      </c>
      <c r="C52" s="27">
        <v>65</v>
      </c>
      <c r="D52" s="27">
        <v>0.47</v>
      </c>
      <c r="E52" s="27">
        <v>-0.15</v>
      </c>
      <c r="F52" s="27">
        <v>0.4</v>
      </c>
      <c r="G52" s="27">
        <v>0.5</v>
      </c>
      <c r="H52" s="27">
        <v>3</v>
      </c>
      <c r="I52" s="27">
        <v>799</v>
      </c>
      <c r="J52" s="6" t="s">
        <v>618</v>
      </c>
      <c r="K52" s="27">
        <v>65</v>
      </c>
      <c r="L52" s="27">
        <v>1.88</v>
      </c>
      <c r="M52" s="27">
        <v>0</v>
      </c>
      <c r="N52" s="27">
        <v>4.0999999999999996</v>
      </c>
      <c r="O52" s="27">
        <v>4.5</v>
      </c>
      <c r="P52" s="27">
        <v>0</v>
      </c>
      <c r="Q52" s="27">
        <v>628</v>
      </c>
    </row>
    <row r="53" spans="2:17" x14ac:dyDescent="0.3">
      <c r="B53" s="6" t="s">
        <v>582</v>
      </c>
      <c r="C53" s="27">
        <v>67.5</v>
      </c>
      <c r="D53" s="27">
        <v>0.2</v>
      </c>
      <c r="E53" s="27">
        <v>-0.05</v>
      </c>
      <c r="F53" s="27">
        <v>0.1</v>
      </c>
      <c r="G53" s="27">
        <v>0.25</v>
      </c>
      <c r="H53" s="27">
        <v>5</v>
      </c>
      <c r="I53" s="27">
        <v>1682</v>
      </c>
      <c r="J53" s="6" t="s">
        <v>619</v>
      </c>
      <c r="K53" s="27">
        <v>67.5</v>
      </c>
      <c r="L53" s="27">
        <v>4</v>
      </c>
      <c r="M53" s="27">
        <v>0</v>
      </c>
      <c r="N53" s="27">
        <v>6.3</v>
      </c>
      <c r="O53" s="27">
        <v>6.7</v>
      </c>
      <c r="P53" s="27">
        <v>0</v>
      </c>
      <c r="Q53" s="27">
        <v>110</v>
      </c>
    </row>
    <row r="54" spans="2:17" x14ac:dyDescent="0.3">
      <c r="B54" s="6" t="s">
        <v>583</v>
      </c>
      <c r="C54" s="27">
        <v>70</v>
      </c>
      <c r="D54" s="27">
        <v>0.05</v>
      </c>
      <c r="E54" s="27">
        <v>-0.4</v>
      </c>
      <c r="F54" s="27">
        <v>0</v>
      </c>
      <c r="G54" s="27">
        <v>0.15</v>
      </c>
      <c r="H54" s="27">
        <v>26</v>
      </c>
      <c r="I54" s="27">
        <v>342</v>
      </c>
      <c r="J54" s="6" t="s">
        <v>620</v>
      </c>
      <c r="K54" s="27">
        <v>70</v>
      </c>
      <c r="L54" s="27">
        <v>5.79</v>
      </c>
      <c r="M54" s="27">
        <v>0</v>
      </c>
      <c r="N54" s="27">
        <v>8.1999999999999993</v>
      </c>
      <c r="O54" s="27">
        <v>9.3000000000000007</v>
      </c>
      <c r="P54" s="27">
        <v>0</v>
      </c>
      <c r="Q54" s="27">
        <v>112</v>
      </c>
    </row>
    <row r="55" spans="2:17" x14ac:dyDescent="0.3">
      <c r="B55" s="6" t="s">
        <v>584</v>
      </c>
      <c r="C55" s="27">
        <v>72.5</v>
      </c>
      <c r="D55" s="27">
        <v>0</v>
      </c>
      <c r="E55" s="27">
        <v>0</v>
      </c>
      <c r="F55" s="27">
        <v>0</v>
      </c>
      <c r="G55" s="27">
        <v>0.1</v>
      </c>
      <c r="H55" s="27">
        <v>0</v>
      </c>
      <c r="I55" s="27">
        <v>6</v>
      </c>
      <c r="J55" s="6" t="s">
        <v>621</v>
      </c>
      <c r="K55" s="27">
        <v>72.5</v>
      </c>
      <c r="L55" s="27">
        <v>0</v>
      </c>
      <c r="M55" s="27">
        <v>0</v>
      </c>
      <c r="N55" s="27">
        <v>10.7</v>
      </c>
      <c r="O55" s="27">
        <v>11.8</v>
      </c>
      <c r="P55" s="27">
        <v>0</v>
      </c>
      <c r="Q55" s="27">
        <v>40</v>
      </c>
    </row>
    <row r="56" spans="2:17" x14ac:dyDescent="0.3">
      <c r="B56" s="6" t="s">
        <v>585</v>
      </c>
      <c r="C56" s="27">
        <v>75</v>
      </c>
      <c r="D56" s="27">
        <v>0.17</v>
      </c>
      <c r="E56" s="27">
        <v>0</v>
      </c>
      <c r="F56" s="27">
        <v>0</v>
      </c>
      <c r="G56" s="27">
        <v>0.1</v>
      </c>
      <c r="H56" s="27">
        <v>0</v>
      </c>
      <c r="I56" s="27">
        <v>7</v>
      </c>
      <c r="J56" s="6" t="s">
        <v>622</v>
      </c>
      <c r="K56" s="27">
        <v>75</v>
      </c>
      <c r="L56" s="27">
        <v>19.63</v>
      </c>
      <c r="M56" s="27">
        <v>0</v>
      </c>
      <c r="N56" s="27">
        <v>13.2</v>
      </c>
      <c r="O56" s="27">
        <v>14.5</v>
      </c>
      <c r="P56" s="27">
        <v>0</v>
      </c>
      <c r="Q56" s="27">
        <v>15</v>
      </c>
    </row>
    <row r="57" spans="2:17" x14ac:dyDescent="0.3">
      <c r="B57" s="6" t="s">
        <v>586</v>
      </c>
      <c r="C57" s="27">
        <v>80</v>
      </c>
      <c r="D57" s="27">
        <v>0</v>
      </c>
      <c r="E57" s="27">
        <v>0</v>
      </c>
      <c r="F57" s="27">
        <v>0</v>
      </c>
      <c r="G57" s="27">
        <v>0.1</v>
      </c>
      <c r="H57" s="27">
        <v>0</v>
      </c>
      <c r="I57" s="27">
        <v>129</v>
      </c>
      <c r="J57" s="6" t="s">
        <v>623</v>
      </c>
      <c r="K57" s="27">
        <v>80</v>
      </c>
      <c r="L57" s="27">
        <v>0</v>
      </c>
      <c r="M57" s="27">
        <v>0</v>
      </c>
      <c r="N57" s="27">
        <v>17.8</v>
      </c>
      <c r="O57" s="27">
        <v>19.5</v>
      </c>
      <c r="P57" s="27">
        <v>0</v>
      </c>
      <c r="Q57" s="27">
        <v>0</v>
      </c>
    </row>
    <row r="58" spans="2:17" x14ac:dyDescent="0.3">
      <c r="B58" s="6" t="s">
        <v>624</v>
      </c>
      <c r="C58" s="27">
        <v>35</v>
      </c>
      <c r="D58" s="27">
        <v>0</v>
      </c>
      <c r="E58" s="27">
        <v>0</v>
      </c>
      <c r="F58" s="27">
        <v>25.8</v>
      </c>
      <c r="G58" s="27">
        <v>27.5</v>
      </c>
      <c r="H58" s="27">
        <v>0</v>
      </c>
      <c r="I58" s="27">
        <v>0</v>
      </c>
      <c r="J58" s="6" t="s">
        <v>641</v>
      </c>
      <c r="K58" s="27">
        <v>35</v>
      </c>
      <c r="L58" s="27">
        <v>0</v>
      </c>
      <c r="M58" s="27">
        <v>0</v>
      </c>
      <c r="N58" s="27">
        <v>0</v>
      </c>
      <c r="O58" s="27">
        <v>0.15</v>
      </c>
      <c r="P58" s="27">
        <v>0</v>
      </c>
      <c r="Q58" s="27">
        <v>20</v>
      </c>
    </row>
    <row r="59" spans="2:17" x14ac:dyDescent="0.3">
      <c r="B59" s="6" t="s">
        <v>625</v>
      </c>
      <c r="C59" s="27">
        <v>40</v>
      </c>
      <c r="D59" s="27">
        <v>0</v>
      </c>
      <c r="E59" s="27">
        <v>0</v>
      </c>
      <c r="F59" s="27">
        <v>19.600000000000001</v>
      </c>
      <c r="G59" s="27">
        <v>22.4</v>
      </c>
      <c r="H59" s="27">
        <v>0</v>
      </c>
      <c r="I59" s="27">
        <v>0</v>
      </c>
      <c r="J59" s="6" t="s">
        <v>642</v>
      </c>
      <c r="K59" s="27">
        <v>40</v>
      </c>
      <c r="L59" s="27">
        <v>0</v>
      </c>
      <c r="M59" s="27">
        <v>0</v>
      </c>
      <c r="N59" s="27">
        <v>0.1</v>
      </c>
      <c r="O59" s="27">
        <v>0.25</v>
      </c>
      <c r="P59" s="27">
        <v>0</v>
      </c>
      <c r="Q59" s="27">
        <v>0</v>
      </c>
    </row>
    <row r="60" spans="2:17" x14ac:dyDescent="0.3">
      <c r="B60" s="6" t="s">
        <v>626</v>
      </c>
      <c r="C60" s="27">
        <v>42.5</v>
      </c>
      <c r="D60" s="27">
        <v>0</v>
      </c>
      <c r="E60" s="27">
        <v>0</v>
      </c>
      <c r="F60" s="27">
        <v>16.8</v>
      </c>
      <c r="G60" s="27">
        <v>19.8</v>
      </c>
      <c r="H60" s="27">
        <v>0</v>
      </c>
      <c r="I60" s="27">
        <v>0</v>
      </c>
      <c r="J60" s="6" t="s">
        <v>643</v>
      </c>
      <c r="K60" s="27">
        <v>42.5</v>
      </c>
      <c r="L60" s="27">
        <v>0</v>
      </c>
      <c r="M60" s="27">
        <v>0</v>
      </c>
      <c r="N60" s="27">
        <v>0.1</v>
      </c>
      <c r="O60" s="27">
        <v>0.3</v>
      </c>
      <c r="P60" s="27">
        <v>0</v>
      </c>
      <c r="Q60" s="27">
        <v>0</v>
      </c>
    </row>
    <row r="61" spans="2:17" x14ac:dyDescent="0.3">
      <c r="B61" s="6" t="s">
        <v>627</v>
      </c>
      <c r="C61" s="27">
        <v>45</v>
      </c>
      <c r="D61" s="27">
        <v>0</v>
      </c>
      <c r="E61" s="27">
        <v>0</v>
      </c>
      <c r="F61" s="27">
        <v>15.1</v>
      </c>
      <c r="G61" s="27">
        <v>18</v>
      </c>
      <c r="H61" s="27">
        <v>0</v>
      </c>
      <c r="I61" s="27">
        <v>0</v>
      </c>
      <c r="J61" s="6" t="s">
        <v>644</v>
      </c>
      <c r="K61" s="27">
        <v>45</v>
      </c>
      <c r="L61" s="27">
        <v>0</v>
      </c>
      <c r="M61" s="27">
        <v>0</v>
      </c>
      <c r="N61" s="27">
        <v>0.1</v>
      </c>
      <c r="O61" s="27">
        <v>0.4</v>
      </c>
      <c r="P61" s="27">
        <v>0</v>
      </c>
      <c r="Q61" s="27">
        <v>0</v>
      </c>
    </row>
    <row r="62" spans="2:17" x14ac:dyDescent="0.3">
      <c r="B62" s="6" t="s">
        <v>628</v>
      </c>
      <c r="C62" s="27">
        <v>47.5</v>
      </c>
      <c r="D62" s="27">
        <v>0</v>
      </c>
      <c r="E62" s="27">
        <v>0</v>
      </c>
      <c r="F62" s="27">
        <v>13.5</v>
      </c>
      <c r="G62" s="27">
        <v>15</v>
      </c>
      <c r="H62" s="27">
        <v>0</v>
      </c>
      <c r="I62" s="27">
        <v>0</v>
      </c>
      <c r="J62" s="6" t="s">
        <v>645</v>
      </c>
      <c r="K62" s="27">
        <v>47.5</v>
      </c>
      <c r="L62" s="27">
        <v>0</v>
      </c>
      <c r="M62" s="27">
        <v>0</v>
      </c>
      <c r="N62" s="27">
        <v>0.25</v>
      </c>
      <c r="O62" s="27">
        <v>0.5</v>
      </c>
      <c r="P62" s="27">
        <v>0</v>
      </c>
      <c r="Q62" s="27">
        <v>0</v>
      </c>
    </row>
    <row r="63" spans="2:17" x14ac:dyDescent="0.3">
      <c r="B63" s="6" t="s">
        <v>629</v>
      </c>
      <c r="C63" s="27">
        <v>50</v>
      </c>
      <c r="D63" s="27">
        <v>0</v>
      </c>
      <c r="E63" s="27">
        <v>0</v>
      </c>
      <c r="F63" s="27">
        <v>11.4</v>
      </c>
      <c r="G63" s="27">
        <v>12</v>
      </c>
      <c r="H63" s="27">
        <v>0</v>
      </c>
      <c r="I63" s="27">
        <v>17</v>
      </c>
      <c r="J63" s="6" t="s">
        <v>646</v>
      </c>
      <c r="K63" s="27">
        <v>50</v>
      </c>
      <c r="L63" s="27">
        <v>0</v>
      </c>
      <c r="M63" s="27">
        <v>0</v>
      </c>
      <c r="N63" s="27">
        <v>0.5</v>
      </c>
      <c r="O63" s="27">
        <v>0.7</v>
      </c>
      <c r="P63" s="27">
        <v>0</v>
      </c>
      <c r="Q63" s="27">
        <v>2</v>
      </c>
    </row>
    <row r="64" spans="2:17" x14ac:dyDescent="0.3">
      <c r="B64" s="6" t="s">
        <v>630</v>
      </c>
      <c r="C64" s="27">
        <v>52.5</v>
      </c>
      <c r="D64" s="27">
        <v>13.32</v>
      </c>
      <c r="E64" s="27">
        <v>0</v>
      </c>
      <c r="F64" s="27">
        <v>9.1999999999999993</v>
      </c>
      <c r="G64" s="27">
        <v>9.8000000000000007</v>
      </c>
      <c r="H64" s="27">
        <v>0</v>
      </c>
      <c r="I64" s="27">
        <v>118</v>
      </c>
      <c r="J64" s="6" t="s">
        <v>647</v>
      </c>
      <c r="K64" s="27">
        <v>52.5</v>
      </c>
      <c r="L64" s="27">
        <v>0.61</v>
      </c>
      <c r="M64" s="27">
        <v>0</v>
      </c>
      <c r="N64" s="27">
        <v>0.75</v>
      </c>
      <c r="O64" s="27">
        <v>1</v>
      </c>
      <c r="P64" s="27">
        <v>0</v>
      </c>
      <c r="Q64" s="27">
        <v>47</v>
      </c>
    </row>
    <row r="65" spans="2:17" x14ac:dyDescent="0.3">
      <c r="B65" s="6" t="s">
        <v>631</v>
      </c>
      <c r="C65" s="27">
        <v>55</v>
      </c>
      <c r="D65" s="27">
        <v>0</v>
      </c>
      <c r="E65" s="27">
        <v>0</v>
      </c>
      <c r="F65" s="27">
        <v>7.1</v>
      </c>
      <c r="G65" s="27">
        <v>7.7</v>
      </c>
      <c r="H65" s="27">
        <v>0</v>
      </c>
      <c r="I65" s="27">
        <v>1</v>
      </c>
      <c r="J65" s="6" t="s">
        <v>648</v>
      </c>
      <c r="K65" s="27">
        <v>55</v>
      </c>
      <c r="L65" s="27">
        <v>1.1399999999999999</v>
      </c>
      <c r="M65" s="27">
        <v>0</v>
      </c>
      <c r="N65" s="27">
        <v>1.1499999999999999</v>
      </c>
      <c r="O65" s="27">
        <v>1.35</v>
      </c>
      <c r="P65" s="27">
        <v>0</v>
      </c>
      <c r="Q65" s="27">
        <v>151</v>
      </c>
    </row>
    <row r="66" spans="2:17" x14ac:dyDescent="0.3">
      <c r="B66" s="6" t="s">
        <v>632</v>
      </c>
      <c r="C66" s="27">
        <v>57.5</v>
      </c>
      <c r="D66" s="27">
        <v>5.41</v>
      </c>
      <c r="E66" s="27">
        <v>-4.29</v>
      </c>
      <c r="F66" s="27">
        <v>5.2</v>
      </c>
      <c r="G66" s="27">
        <v>5.6</v>
      </c>
      <c r="H66" s="27">
        <v>55</v>
      </c>
      <c r="I66" s="27">
        <v>366</v>
      </c>
      <c r="J66" s="6" t="s">
        <v>649</v>
      </c>
      <c r="K66" s="27">
        <v>57.5</v>
      </c>
      <c r="L66" s="27">
        <v>1.21</v>
      </c>
      <c r="M66" s="27">
        <v>0</v>
      </c>
      <c r="N66" s="27">
        <v>1.75</v>
      </c>
      <c r="O66" s="27">
        <v>2</v>
      </c>
      <c r="P66" s="27">
        <v>0</v>
      </c>
      <c r="Q66" s="27">
        <v>278</v>
      </c>
    </row>
    <row r="67" spans="2:17" x14ac:dyDescent="0.3">
      <c r="B67" s="6" t="s">
        <v>633</v>
      </c>
      <c r="C67" s="27">
        <v>60</v>
      </c>
      <c r="D67" s="27">
        <v>4.07</v>
      </c>
      <c r="E67" s="27">
        <v>-0.28000000000000003</v>
      </c>
      <c r="F67" s="27">
        <v>3.7</v>
      </c>
      <c r="G67" s="27">
        <v>4.0999999999999996</v>
      </c>
      <c r="H67" s="27">
        <v>15</v>
      </c>
      <c r="I67" s="27">
        <v>590</v>
      </c>
      <c r="J67" s="6" t="s">
        <v>650</v>
      </c>
      <c r="K67" s="27">
        <v>60</v>
      </c>
      <c r="L67" s="27">
        <v>2.16</v>
      </c>
      <c r="M67" s="27">
        <v>0</v>
      </c>
      <c r="N67" s="27">
        <v>2.7</v>
      </c>
      <c r="O67" s="27">
        <v>2.95</v>
      </c>
      <c r="P67" s="27">
        <v>0</v>
      </c>
      <c r="Q67" s="27">
        <v>191</v>
      </c>
    </row>
    <row r="68" spans="2:17" x14ac:dyDescent="0.3">
      <c r="B68" s="6" t="s">
        <v>634</v>
      </c>
      <c r="C68" s="27">
        <v>62.5</v>
      </c>
      <c r="D68" s="27">
        <v>2.67</v>
      </c>
      <c r="E68" s="27">
        <v>-0.39</v>
      </c>
      <c r="F68" s="27">
        <v>2.4500000000000002</v>
      </c>
      <c r="G68" s="27">
        <v>2.8</v>
      </c>
      <c r="H68" s="27">
        <v>51</v>
      </c>
      <c r="I68" s="27">
        <v>752</v>
      </c>
      <c r="J68" s="6" t="s">
        <v>651</v>
      </c>
      <c r="K68" s="27">
        <v>62.5</v>
      </c>
      <c r="L68" s="27">
        <v>2.6</v>
      </c>
      <c r="M68" s="27">
        <v>0</v>
      </c>
      <c r="N68" s="27">
        <v>3.9</v>
      </c>
      <c r="O68" s="27">
        <v>4.2</v>
      </c>
      <c r="P68" s="27">
        <v>0</v>
      </c>
      <c r="Q68" s="27">
        <v>1765</v>
      </c>
    </row>
    <row r="69" spans="2:17" x14ac:dyDescent="0.3">
      <c r="B69" s="6" t="s">
        <v>635</v>
      </c>
      <c r="C69" s="27">
        <v>65</v>
      </c>
      <c r="D69" s="27">
        <v>1.7</v>
      </c>
      <c r="E69" s="27">
        <v>-0.36</v>
      </c>
      <c r="F69" s="27">
        <v>1.5</v>
      </c>
      <c r="G69" s="27">
        <v>1.75</v>
      </c>
      <c r="H69" s="27">
        <v>6</v>
      </c>
      <c r="I69" s="27">
        <v>1841</v>
      </c>
      <c r="J69" s="6" t="s">
        <v>652</v>
      </c>
      <c r="K69" s="27">
        <v>65</v>
      </c>
      <c r="L69" s="27">
        <v>3.73</v>
      </c>
      <c r="M69" s="27">
        <v>0</v>
      </c>
      <c r="N69" s="27">
        <v>5.3</v>
      </c>
      <c r="O69" s="27">
        <v>5.8</v>
      </c>
      <c r="P69" s="27">
        <v>0</v>
      </c>
      <c r="Q69" s="27">
        <v>159</v>
      </c>
    </row>
    <row r="70" spans="2:17" x14ac:dyDescent="0.3">
      <c r="B70" s="6" t="s">
        <v>636</v>
      </c>
      <c r="C70" s="27">
        <v>67.5</v>
      </c>
      <c r="D70" s="27">
        <v>1.07</v>
      </c>
      <c r="E70" s="27">
        <v>-0.15</v>
      </c>
      <c r="F70" s="27">
        <v>0.85</v>
      </c>
      <c r="G70" s="27">
        <v>1.1499999999999999</v>
      </c>
      <c r="H70" s="27">
        <v>12</v>
      </c>
      <c r="I70" s="27">
        <v>447</v>
      </c>
      <c r="J70" s="6" t="s">
        <v>653</v>
      </c>
      <c r="K70" s="27">
        <v>67.5</v>
      </c>
      <c r="L70" s="27">
        <v>0</v>
      </c>
      <c r="M70" s="27">
        <v>0</v>
      </c>
      <c r="N70" s="27">
        <v>7</v>
      </c>
      <c r="O70" s="27">
        <v>7.8</v>
      </c>
      <c r="P70" s="27">
        <v>0</v>
      </c>
      <c r="Q70" s="27">
        <v>174</v>
      </c>
    </row>
    <row r="71" spans="2:17" x14ac:dyDescent="0.3">
      <c r="B71" s="6" t="s">
        <v>637</v>
      </c>
      <c r="C71" s="27">
        <v>70</v>
      </c>
      <c r="D71" s="27">
        <v>0.7</v>
      </c>
      <c r="E71" s="27">
        <v>0</v>
      </c>
      <c r="F71" s="27">
        <v>0.45</v>
      </c>
      <c r="G71" s="27">
        <v>0.8</v>
      </c>
      <c r="H71" s="27">
        <v>0</v>
      </c>
      <c r="I71" s="27">
        <v>847</v>
      </c>
      <c r="J71" s="6" t="s">
        <v>654</v>
      </c>
      <c r="K71" s="27">
        <v>70</v>
      </c>
      <c r="L71" s="27">
        <v>6.2</v>
      </c>
      <c r="M71" s="27">
        <v>0</v>
      </c>
      <c r="N71" s="27">
        <v>9.1999999999999993</v>
      </c>
      <c r="O71" s="27">
        <v>9.8000000000000007</v>
      </c>
      <c r="P71" s="27">
        <v>0</v>
      </c>
      <c r="Q71" s="27">
        <v>227</v>
      </c>
    </row>
    <row r="72" spans="2:17" x14ac:dyDescent="0.3">
      <c r="B72" s="6" t="s">
        <v>638</v>
      </c>
      <c r="C72" s="27">
        <v>72.5</v>
      </c>
      <c r="D72" s="27">
        <v>0.34</v>
      </c>
      <c r="E72" s="27">
        <v>-0.03</v>
      </c>
      <c r="F72" s="27">
        <v>0.2</v>
      </c>
      <c r="G72" s="27">
        <v>0.5</v>
      </c>
      <c r="H72" s="27">
        <v>2</v>
      </c>
      <c r="I72" s="27">
        <v>78</v>
      </c>
      <c r="J72" s="6" t="s">
        <v>655</v>
      </c>
      <c r="K72" s="27">
        <v>72.5</v>
      </c>
      <c r="L72" s="27">
        <v>0</v>
      </c>
      <c r="M72" s="27">
        <v>0</v>
      </c>
      <c r="N72" s="27">
        <v>11.5</v>
      </c>
      <c r="O72" s="27">
        <v>12.1</v>
      </c>
      <c r="P72" s="27">
        <v>0</v>
      </c>
      <c r="Q72" s="27">
        <v>169</v>
      </c>
    </row>
    <row r="73" spans="2:17" x14ac:dyDescent="0.3">
      <c r="B73" s="6" t="s">
        <v>639</v>
      </c>
      <c r="C73" s="27">
        <v>75</v>
      </c>
      <c r="D73" s="27">
        <v>0.63</v>
      </c>
      <c r="E73" s="27">
        <v>0</v>
      </c>
      <c r="F73" s="27">
        <v>0.1</v>
      </c>
      <c r="G73" s="27">
        <v>0.35</v>
      </c>
      <c r="H73" s="27">
        <v>0</v>
      </c>
      <c r="I73" s="27">
        <v>144</v>
      </c>
      <c r="J73" s="6" t="s">
        <v>656</v>
      </c>
      <c r="K73" s="27">
        <v>75</v>
      </c>
      <c r="L73" s="27">
        <v>10.5</v>
      </c>
      <c r="M73" s="27">
        <v>0</v>
      </c>
      <c r="N73" s="27">
        <v>13.4</v>
      </c>
      <c r="O73" s="27">
        <v>14.7</v>
      </c>
      <c r="P73" s="27">
        <v>0</v>
      </c>
      <c r="Q73" s="27">
        <v>70</v>
      </c>
    </row>
    <row r="74" spans="2:17" x14ac:dyDescent="0.3">
      <c r="B74" s="6" t="s">
        <v>640</v>
      </c>
      <c r="C74" s="27">
        <v>80</v>
      </c>
      <c r="D74" s="27">
        <v>0.3</v>
      </c>
      <c r="E74" s="27">
        <v>0</v>
      </c>
      <c r="F74" s="27">
        <v>0</v>
      </c>
      <c r="G74" s="27">
        <v>0.15</v>
      </c>
      <c r="H74" s="27">
        <v>0</v>
      </c>
      <c r="I74" s="27">
        <v>70</v>
      </c>
      <c r="J74" s="6" t="s">
        <v>657</v>
      </c>
      <c r="K74" s="27">
        <v>80</v>
      </c>
      <c r="L74" s="27">
        <v>0</v>
      </c>
      <c r="M74" s="27">
        <v>0</v>
      </c>
      <c r="N74" s="27">
        <v>18</v>
      </c>
      <c r="O74" s="27">
        <v>19.600000000000001</v>
      </c>
      <c r="P74" s="27">
        <v>0</v>
      </c>
      <c r="Q74" s="27">
        <v>0</v>
      </c>
    </row>
    <row r="75" spans="2:17" x14ac:dyDescent="0.3">
      <c r="B75" s="6" t="s">
        <v>658</v>
      </c>
      <c r="C75" s="27">
        <v>40</v>
      </c>
      <c r="D75" s="27">
        <v>0</v>
      </c>
      <c r="E75" s="27">
        <v>0</v>
      </c>
      <c r="F75" s="27">
        <v>20.7</v>
      </c>
      <c r="G75" s="27">
        <v>22.7</v>
      </c>
      <c r="H75" s="27">
        <v>0</v>
      </c>
      <c r="I75" s="27">
        <v>0</v>
      </c>
      <c r="J75" s="6" t="s">
        <v>678</v>
      </c>
      <c r="K75" s="27">
        <v>40</v>
      </c>
      <c r="L75" s="27">
        <v>0</v>
      </c>
      <c r="M75" s="27">
        <v>0</v>
      </c>
      <c r="N75" s="27">
        <v>0.15</v>
      </c>
      <c r="O75" s="27">
        <v>0.45</v>
      </c>
      <c r="P75" s="27">
        <v>0</v>
      </c>
      <c r="Q75" s="27">
        <v>0</v>
      </c>
    </row>
    <row r="76" spans="2:17" x14ac:dyDescent="0.3">
      <c r="B76" s="6" t="s">
        <v>659</v>
      </c>
      <c r="C76" s="27">
        <v>42.5</v>
      </c>
      <c r="D76" s="27">
        <v>0</v>
      </c>
      <c r="E76" s="27">
        <v>0</v>
      </c>
      <c r="F76" s="27">
        <v>18.399999999999999</v>
      </c>
      <c r="G76" s="27">
        <v>20</v>
      </c>
      <c r="H76" s="27">
        <v>0</v>
      </c>
      <c r="I76" s="27">
        <v>0</v>
      </c>
      <c r="J76" s="6" t="s">
        <v>679</v>
      </c>
      <c r="K76" s="27">
        <v>42.5</v>
      </c>
      <c r="L76" s="27">
        <v>0</v>
      </c>
      <c r="M76" s="27">
        <v>0</v>
      </c>
      <c r="N76" s="27">
        <v>0.3</v>
      </c>
      <c r="O76" s="27">
        <v>0.55000000000000004</v>
      </c>
      <c r="P76" s="27">
        <v>0</v>
      </c>
      <c r="Q76" s="27">
        <v>0</v>
      </c>
    </row>
    <row r="77" spans="2:17" x14ac:dyDescent="0.3">
      <c r="B77" s="6" t="s">
        <v>660</v>
      </c>
      <c r="C77" s="27">
        <v>45</v>
      </c>
      <c r="D77" s="27">
        <v>0</v>
      </c>
      <c r="E77" s="27">
        <v>0</v>
      </c>
      <c r="F77" s="27">
        <v>16.2</v>
      </c>
      <c r="G77" s="27">
        <v>17</v>
      </c>
      <c r="H77" s="27">
        <v>0</v>
      </c>
      <c r="I77" s="27">
        <v>0</v>
      </c>
      <c r="J77" s="6" t="s">
        <v>680</v>
      </c>
      <c r="K77" s="27">
        <v>45</v>
      </c>
      <c r="L77" s="27">
        <v>0</v>
      </c>
      <c r="M77" s="27">
        <v>0</v>
      </c>
      <c r="N77" s="27">
        <v>0.5</v>
      </c>
      <c r="O77" s="27">
        <v>0.7</v>
      </c>
      <c r="P77" s="27">
        <v>0</v>
      </c>
      <c r="Q77" s="27">
        <v>0</v>
      </c>
    </row>
    <row r="78" spans="2:17" x14ac:dyDescent="0.3">
      <c r="B78" s="6" t="s">
        <v>661</v>
      </c>
      <c r="C78" s="27">
        <v>47.5</v>
      </c>
      <c r="D78" s="27">
        <v>0</v>
      </c>
      <c r="E78" s="27">
        <v>0</v>
      </c>
      <c r="F78" s="27">
        <v>13.9</v>
      </c>
      <c r="G78" s="27">
        <v>14.7</v>
      </c>
      <c r="H78" s="27">
        <v>0</v>
      </c>
      <c r="I78" s="27">
        <v>0</v>
      </c>
      <c r="J78" s="6" t="s">
        <v>681</v>
      </c>
      <c r="K78" s="27">
        <v>47.5</v>
      </c>
      <c r="L78" s="27">
        <v>0</v>
      </c>
      <c r="M78" s="27">
        <v>0</v>
      </c>
      <c r="N78" s="27">
        <v>0.65</v>
      </c>
      <c r="O78" s="27">
        <v>0.9</v>
      </c>
      <c r="P78" s="27">
        <v>0</v>
      </c>
      <c r="Q78" s="27">
        <v>0</v>
      </c>
    </row>
    <row r="79" spans="2:17" x14ac:dyDescent="0.3">
      <c r="B79" s="6" t="s">
        <v>662</v>
      </c>
      <c r="C79" s="27">
        <v>50</v>
      </c>
      <c r="D79" s="27">
        <v>0</v>
      </c>
      <c r="E79" s="27">
        <v>0</v>
      </c>
      <c r="F79" s="27">
        <v>11.8</v>
      </c>
      <c r="G79" s="27">
        <v>12.4</v>
      </c>
      <c r="H79" s="27">
        <v>0</v>
      </c>
      <c r="I79" s="27">
        <v>0</v>
      </c>
      <c r="J79" s="6" t="s">
        <v>682</v>
      </c>
      <c r="K79" s="27">
        <v>50</v>
      </c>
      <c r="L79" s="27">
        <v>0</v>
      </c>
      <c r="M79" s="27">
        <v>0</v>
      </c>
      <c r="N79" s="27">
        <v>0.95</v>
      </c>
      <c r="O79" s="27">
        <v>1.25</v>
      </c>
      <c r="P79" s="27">
        <v>0</v>
      </c>
      <c r="Q79" s="27">
        <v>0</v>
      </c>
    </row>
    <row r="80" spans="2:17" x14ac:dyDescent="0.3">
      <c r="B80" s="6" t="s">
        <v>663</v>
      </c>
      <c r="C80" s="27">
        <v>52.5</v>
      </c>
      <c r="D80" s="27">
        <v>0</v>
      </c>
      <c r="E80" s="27">
        <v>0</v>
      </c>
      <c r="F80" s="27">
        <v>0</v>
      </c>
      <c r="G80" s="27">
        <v>0</v>
      </c>
      <c r="H80" s="27">
        <v>0</v>
      </c>
      <c r="I80" s="27">
        <v>0</v>
      </c>
      <c r="J80" s="6" t="s">
        <v>683</v>
      </c>
      <c r="K80" s="27">
        <v>52.5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</row>
    <row r="81" spans="2:17" x14ac:dyDescent="0.3">
      <c r="B81" s="6" t="s">
        <v>664</v>
      </c>
      <c r="C81" s="27">
        <v>55</v>
      </c>
      <c r="D81" s="27">
        <v>0</v>
      </c>
      <c r="E81" s="27">
        <v>0</v>
      </c>
      <c r="F81" s="27">
        <v>7.8</v>
      </c>
      <c r="G81" s="27">
        <v>8.5</v>
      </c>
      <c r="H81" s="27">
        <v>0</v>
      </c>
      <c r="I81" s="27">
        <v>10</v>
      </c>
      <c r="J81" s="6" t="s">
        <v>684</v>
      </c>
      <c r="K81" s="27">
        <v>55</v>
      </c>
      <c r="L81" s="27">
        <v>0</v>
      </c>
      <c r="M81" s="27">
        <v>0</v>
      </c>
      <c r="N81" s="27">
        <v>1.9</v>
      </c>
      <c r="O81" s="27">
        <v>2.25</v>
      </c>
      <c r="P81" s="27">
        <v>0</v>
      </c>
      <c r="Q81" s="27">
        <v>12</v>
      </c>
    </row>
    <row r="82" spans="2:17" x14ac:dyDescent="0.3">
      <c r="B82" s="6" t="s">
        <v>665</v>
      </c>
      <c r="C82" s="27">
        <v>57.5</v>
      </c>
      <c r="D82" s="27">
        <v>6.42</v>
      </c>
      <c r="E82" s="27">
        <v>-0.06</v>
      </c>
      <c r="F82" s="27">
        <v>6.1</v>
      </c>
      <c r="G82" s="27">
        <v>6.4</v>
      </c>
      <c r="H82" s="27">
        <v>40</v>
      </c>
      <c r="I82" s="27">
        <v>51</v>
      </c>
      <c r="J82" s="6" t="s">
        <v>685</v>
      </c>
      <c r="K82" s="27">
        <v>57.5</v>
      </c>
      <c r="L82" s="27">
        <v>2.1</v>
      </c>
      <c r="M82" s="27">
        <v>0</v>
      </c>
      <c r="N82" s="27">
        <v>2.6</v>
      </c>
      <c r="O82" s="27">
        <v>3.1</v>
      </c>
      <c r="P82" s="27">
        <v>0</v>
      </c>
      <c r="Q82" s="27">
        <v>18</v>
      </c>
    </row>
    <row r="83" spans="2:17" x14ac:dyDescent="0.3">
      <c r="B83" s="6" t="s">
        <v>666</v>
      </c>
      <c r="C83" s="27">
        <v>60</v>
      </c>
      <c r="D83" s="27">
        <v>4.9000000000000004</v>
      </c>
      <c r="E83" s="27">
        <v>-0.23</v>
      </c>
      <c r="F83" s="27">
        <v>4.5999999999999996</v>
      </c>
      <c r="G83" s="27">
        <v>5.2</v>
      </c>
      <c r="H83" s="27">
        <v>30</v>
      </c>
      <c r="I83" s="27">
        <v>325</v>
      </c>
      <c r="J83" s="6" t="s">
        <v>686</v>
      </c>
      <c r="K83" s="27">
        <v>60</v>
      </c>
      <c r="L83" s="27">
        <v>0</v>
      </c>
      <c r="M83" s="27">
        <v>0</v>
      </c>
      <c r="N83" s="27">
        <v>3.4</v>
      </c>
      <c r="O83" s="27">
        <v>4.0999999999999996</v>
      </c>
      <c r="P83" s="27">
        <v>0</v>
      </c>
      <c r="Q83" s="27">
        <v>0</v>
      </c>
    </row>
    <row r="84" spans="2:17" x14ac:dyDescent="0.3">
      <c r="B84" s="6" t="s">
        <v>667</v>
      </c>
      <c r="C84" s="27">
        <v>62.5</v>
      </c>
      <c r="D84" s="27">
        <v>4.0999999999999996</v>
      </c>
      <c r="E84" s="27">
        <v>0</v>
      </c>
      <c r="F84" s="27">
        <v>3.3</v>
      </c>
      <c r="G84" s="27">
        <v>3.9</v>
      </c>
      <c r="H84" s="27">
        <v>0</v>
      </c>
      <c r="I84" s="27">
        <v>282</v>
      </c>
      <c r="J84" s="6" t="s">
        <v>687</v>
      </c>
      <c r="K84" s="27">
        <v>62.5</v>
      </c>
      <c r="L84" s="27">
        <v>3.5</v>
      </c>
      <c r="M84" s="27">
        <v>0</v>
      </c>
      <c r="N84" s="27">
        <v>4.7</v>
      </c>
      <c r="O84" s="27">
        <v>5.3</v>
      </c>
      <c r="P84" s="27">
        <v>0</v>
      </c>
      <c r="Q84" s="27">
        <v>1</v>
      </c>
    </row>
    <row r="85" spans="2:17" x14ac:dyDescent="0.3">
      <c r="B85" s="6" t="s">
        <v>668</v>
      </c>
      <c r="C85" s="27">
        <v>65</v>
      </c>
      <c r="D85" s="27">
        <v>3.01</v>
      </c>
      <c r="E85" s="27">
        <v>0</v>
      </c>
      <c r="F85" s="27">
        <v>2.35</v>
      </c>
      <c r="G85" s="27">
        <v>3</v>
      </c>
      <c r="H85" s="27">
        <v>0</v>
      </c>
      <c r="I85" s="27">
        <v>282</v>
      </c>
      <c r="J85" s="6" t="s">
        <v>688</v>
      </c>
      <c r="K85" s="27">
        <v>65</v>
      </c>
      <c r="L85" s="27">
        <v>0</v>
      </c>
      <c r="M85" s="27">
        <v>0</v>
      </c>
      <c r="N85" s="27">
        <v>6.1</v>
      </c>
      <c r="O85" s="27">
        <v>6.8</v>
      </c>
      <c r="P85" s="27">
        <v>0</v>
      </c>
      <c r="Q85" s="27">
        <v>0</v>
      </c>
    </row>
    <row r="86" spans="2:17" x14ac:dyDescent="0.3">
      <c r="B86" s="6" t="s">
        <v>669</v>
      </c>
      <c r="C86" s="27">
        <v>67.5</v>
      </c>
      <c r="D86" s="27">
        <v>1.88</v>
      </c>
      <c r="E86" s="27">
        <v>-1.0900000000000001</v>
      </c>
      <c r="F86" s="27">
        <v>1.6</v>
      </c>
      <c r="G86" s="27">
        <v>2</v>
      </c>
      <c r="H86" s="27">
        <v>40</v>
      </c>
      <c r="I86" s="27">
        <v>232</v>
      </c>
      <c r="J86" s="6" t="s">
        <v>689</v>
      </c>
      <c r="K86" s="27">
        <v>67.5</v>
      </c>
      <c r="L86" s="27">
        <v>0</v>
      </c>
      <c r="M86" s="27">
        <v>0</v>
      </c>
      <c r="N86" s="27">
        <v>7.8</v>
      </c>
      <c r="O86" s="27">
        <v>8.5</v>
      </c>
      <c r="P86" s="27">
        <v>0</v>
      </c>
      <c r="Q86" s="27">
        <v>0</v>
      </c>
    </row>
    <row r="87" spans="2:17" x14ac:dyDescent="0.3">
      <c r="B87" s="6" t="s">
        <v>670</v>
      </c>
      <c r="C87" s="27">
        <v>70</v>
      </c>
      <c r="D87" s="27">
        <v>0</v>
      </c>
      <c r="E87" s="27">
        <v>0</v>
      </c>
      <c r="F87" s="27">
        <v>1</v>
      </c>
      <c r="G87" s="27">
        <v>1.4</v>
      </c>
      <c r="H87" s="27">
        <v>0</v>
      </c>
      <c r="I87" s="27">
        <v>1</v>
      </c>
      <c r="J87" s="6" t="s">
        <v>690</v>
      </c>
      <c r="K87" s="27">
        <v>70</v>
      </c>
      <c r="L87" s="27">
        <v>0</v>
      </c>
      <c r="M87" s="27">
        <v>0</v>
      </c>
      <c r="N87" s="27">
        <v>9.8000000000000007</v>
      </c>
      <c r="O87" s="27">
        <v>10.5</v>
      </c>
      <c r="P87" s="27">
        <v>0</v>
      </c>
      <c r="Q87" s="27">
        <v>0</v>
      </c>
    </row>
    <row r="88" spans="2:17" x14ac:dyDescent="0.3">
      <c r="B88" s="6" t="s">
        <v>671</v>
      </c>
      <c r="C88" s="27">
        <v>72.5</v>
      </c>
      <c r="D88" s="27">
        <v>0</v>
      </c>
      <c r="E88" s="27">
        <v>0</v>
      </c>
      <c r="F88" s="27">
        <v>0.6</v>
      </c>
      <c r="G88" s="27">
        <v>0.95</v>
      </c>
      <c r="H88" s="27">
        <v>0</v>
      </c>
      <c r="I88" s="27">
        <v>0</v>
      </c>
      <c r="J88" s="6" t="s">
        <v>691</v>
      </c>
      <c r="K88" s="27">
        <v>72.5</v>
      </c>
      <c r="L88" s="27">
        <v>0</v>
      </c>
      <c r="M88" s="27">
        <v>0</v>
      </c>
      <c r="N88" s="27">
        <v>11.9</v>
      </c>
      <c r="O88" s="27">
        <v>12.8</v>
      </c>
      <c r="P88" s="27">
        <v>0</v>
      </c>
      <c r="Q88" s="27">
        <v>0</v>
      </c>
    </row>
    <row r="89" spans="2:17" x14ac:dyDescent="0.3">
      <c r="B89" s="6" t="s">
        <v>672</v>
      </c>
      <c r="C89" s="27">
        <v>75</v>
      </c>
      <c r="D89" s="27">
        <v>1.3</v>
      </c>
      <c r="E89" s="27">
        <v>0</v>
      </c>
      <c r="F89" s="27">
        <v>0.3</v>
      </c>
      <c r="G89" s="27">
        <v>0.65</v>
      </c>
      <c r="H89" s="27">
        <v>0</v>
      </c>
      <c r="I89" s="27">
        <v>20</v>
      </c>
      <c r="J89" s="6" t="s">
        <v>692</v>
      </c>
      <c r="K89" s="27">
        <v>75</v>
      </c>
      <c r="L89" s="27">
        <v>0</v>
      </c>
      <c r="M89" s="27">
        <v>0</v>
      </c>
      <c r="N89" s="27">
        <v>14.2</v>
      </c>
      <c r="O89" s="27">
        <v>14.8</v>
      </c>
      <c r="P89" s="27">
        <v>0</v>
      </c>
      <c r="Q89" s="27">
        <v>0</v>
      </c>
    </row>
    <row r="90" spans="2:17" x14ac:dyDescent="0.3">
      <c r="B90" s="6" t="s">
        <v>673</v>
      </c>
      <c r="C90" s="27">
        <v>77.5</v>
      </c>
      <c r="D90" s="27">
        <v>0</v>
      </c>
      <c r="E90" s="27">
        <v>0</v>
      </c>
      <c r="F90" s="27">
        <v>0</v>
      </c>
      <c r="G90" s="27">
        <v>0</v>
      </c>
      <c r="H90" s="27">
        <v>0</v>
      </c>
      <c r="I90" s="27">
        <v>0</v>
      </c>
      <c r="J90" s="6" t="s">
        <v>693</v>
      </c>
      <c r="K90" s="27">
        <v>77.5</v>
      </c>
      <c r="L90" s="27">
        <v>0</v>
      </c>
      <c r="M90" s="27">
        <v>0</v>
      </c>
      <c r="N90" s="27">
        <v>0</v>
      </c>
      <c r="O90" s="27">
        <v>0</v>
      </c>
      <c r="P90" s="27">
        <v>0</v>
      </c>
      <c r="Q90" s="27">
        <v>0</v>
      </c>
    </row>
    <row r="91" spans="2:17" x14ac:dyDescent="0.3">
      <c r="B91" s="6" t="s">
        <v>674</v>
      </c>
      <c r="C91" s="27">
        <v>80</v>
      </c>
      <c r="D91" s="27">
        <v>0.55000000000000004</v>
      </c>
      <c r="E91" s="27">
        <v>0</v>
      </c>
      <c r="F91" s="27">
        <v>0.05</v>
      </c>
      <c r="G91" s="27">
        <v>0.35</v>
      </c>
      <c r="H91" s="27">
        <v>0</v>
      </c>
      <c r="I91" s="27">
        <v>20</v>
      </c>
      <c r="J91" s="6" t="s">
        <v>694</v>
      </c>
      <c r="K91" s="27">
        <v>80</v>
      </c>
      <c r="L91" s="27">
        <v>0</v>
      </c>
      <c r="M91" s="27">
        <v>0</v>
      </c>
      <c r="N91" s="27">
        <v>18.5</v>
      </c>
      <c r="O91" s="27">
        <v>19.8</v>
      </c>
      <c r="P91" s="27">
        <v>0</v>
      </c>
      <c r="Q91" s="27">
        <v>4</v>
      </c>
    </row>
    <row r="92" spans="2:17" x14ac:dyDescent="0.3">
      <c r="B92" s="6" t="s">
        <v>675</v>
      </c>
      <c r="C92" s="27">
        <v>82.5</v>
      </c>
      <c r="D92" s="27">
        <v>0</v>
      </c>
      <c r="E92" s="27">
        <v>0</v>
      </c>
      <c r="F92" s="27">
        <v>0</v>
      </c>
      <c r="G92" s="27">
        <v>0</v>
      </c>
      <c r="H92" s="27">
        <v>0</v>
      </c>
      <c r="I92" s="27">
        <v>0</v>
      </c>
      <c r="J92" s="6" t="s">
        <v>695</v>
      </c>
      <c r="K92" s="27">
        <v>82.5</v>
      </c>
      <c r="L92" s="27">
        <v>0</v>
      </c>
      <c r="M92" s="27">
        <v>0</v>
      </c>
      <c r="N92" s="27">
        <v>0</v>
      </c>
      <c r="O92" s="27">
        <v>0</v>
      </c>
      <c r="P92" s="27">
        <v>0</v>
      </c>
      <c r="Q92" s="27">
        <v>0</v>
      </c>
    </row>
    <row r="93" spans="2:17" x14ac:dyDescent="0.3">
      <c r="B93" s="6" t="s">
        <v>676</v>
      </c>
      <c r="C93" s="27">
        <v>85</v>
      </c>
      <c r="D93" s="27">
        <v>0</v>
      </c>
      <c r="E93" s="27">
        <v>0</v>
      </c>
      <c r="F93" s="27">
        <v>0</v>
      </c>
      <c r="G93" s="27">
        <v>0.25</v>
      </c>
      <c r="H93" s="27">
        <v>0</v>
      </c>
      <c r="I93" s="27">
        <v>5</v>
      </c>
      <c r="J93" s="6" t="s">
        <v>696</v>
      </c>
      <c r="K93" s="27">
        <v>85</v>
      </c>
      <c r="L93" s="27">
        <v>0</v>
      </c>
      <c r="M93" s="27">
        <v>0</v>
      </c>
      <c r="N93" s="27">
        <v>23.3</v>
      </c>
      <c r="O93" s="27">
        <v>24.8</v>
      </c>
      <c r="P93" s="27">
        <v>0</v>
      </c>
      <c r="Q93" s="27">
        <v>3</v>
      </c>
    </row>
    <row r="94" spans="2:17" x14ac:dyDescent="0.3">
      <c r="B94" s="6" t="s">
        <v>677</v>
      </c>
      <c r="C94" s="27">
        <v>90</v>
      </c>
      <c r="D94" s="27">
        <v>0</v>
      </c>
      <c r="E94" s="27">
        <v>0</v>
      </c>
      <c r="F94" s="27">
        <v>0</v>
      </c>
      <c r="G94" s="27">
        <v>0.15</v>
      </c>
      <c r="H94" s="27">
        <v>0</v>
      </c>
      <c r="I94" s="27">
        <v>0</v>
      </c>
      <c r="J94" s="6" t="s">
        <v>697</v>
      </c>
      <c r="K94" s="27">
        <v>90</v>
      </c>
      <c r="L94" s="27">
        <v>0</v>
      </c>
      <c r="M94" s="27">
        <v>0</v>
      </c>
      <c r="N94" s="27">
        <v>28.4</v>
      </c>
      <c r="O94" s="27">
        <v>29.9</v>
      </c>
      <c r="P94" s="27">
        <v>0</v>
      </c>
      <c r="Q94" s="27">
        <v>1</v>
      </c>
    </row>
    <row r="95" spans="2:17" x14ac:dyDescent="0.3">
      <c r="B95" s="6" t="s">
        <v>698</v>
      </c>
      <c r="C95" s="27">
        <v>25</v>
      </c>
      <c r="D95" s="27">
        <v>0</v>
      </c>
      <c r="E95" s="27">
        <v>0</v>
      </c>
      <c r="F95" s="27">
        <v>34.700000000000003</v>
      </c>
      <c r="G95" s="27">
        <v>38.700000000000003</v>
      </c>
      <c r="H95" s="27">
        <v>0</v>
      </c>
      <c r="I95" s="27">
        <v>0</v>
      </c>
      <c r="J95" s="6" t="s">
        <v>722</v>
      </c>
      <c r="K95" s="27">
        <v>25</v>
      </c>
      <c r="L95" s="27">
        <v>0</v>
      </c>
      <c r="M95" s="27">
        <v>0</v>
      </c>
      <c r="N95" s="27">
        <v>0</v>
      </c>
      <c r="O95" s="27">
        <v>0.2</v>
      </c>
      <c r="P95" s="27">
        <v>0</v>
      </c>
      <c r="Q95" s="27">
        <v>0</v>
      </c>
    </row>
    <row r="96" spans="2:17" x14ac:dyDescent="0.3">
      <c r="B96" s="6" t="s">
        <v>699</v>
      </c>
      <c r="C96" s="27">
        <v>28</v>
      </c>
      <c r="D96" s="27">
        <v>0</v>
      </c>
      <c r="E96" s="27">
        <v>0</v>
      </c>
      <c r="F96" s="27">
        <v>31</v>
      </c>
      <c r="G96" s="27">
        <v>36</v>
      </c>
      <c r="H96" s="27">
        <v>0</v>
      </c>
      <c r="I96" s="27">
        <v>0</v>
      </c>
      <c r="J96" s="6" t="s">
        <v>723</v>
      </c>
      <c r="K96" s="27">
        <v>28</v>
      </c>
      <c r="L96" s="27">
        <v>0</v>
      </c>
      <c r="M96" s="27">
        <v>0</v>
      </c>
      <c r="N96" s="27">
        <v>0</v>
      </c>
      <c r="O96" s="27">
        <v>0.25</v>
      </c>
      <c r="P96" s="27">
        <v>0</v>
      </c>
      <c r="Q96" s="27">
        <v>0</v>
      </c>
    </row>
    <row r="97" spans="2:17" x14ac:dyDescent="0.3">
      <c r="B97" s="6" t="s">
        <v>700</v>
      </c>
      <c r="C97" s="27">
        <v>29.5</v>
      </c>
      <c r="D97" s="27">
        <v>0</v>
      </c>
      <c r="E97" s="27">
        <v>0</v>
      </c>
      <c r="F97" s="27">
        <v>31.4</v>
      </c>
      <c r="G97" s="27">
        <v>33.700000000000003</v>
      </c>
      <c r="H97" s="27">
        <v>0</v>
      </c>
      <c r="I97" s="27">
        <v>7</v>
      </c>
      <c r="J97" s="6" t="s">
        <v>724</v>
      </c>
      <c r="K97" s="27">
        <v>29.5</v>
      </c>
      <c r="L97" s="27">
        <v>0.75</v>
      </c>
      <c r="M97" s="27">
        <v>0</v>
      </c>
      <c r="N97" s="27">
        <v>0</v>
      </c>
      <c r="O97" s="27">
        <v>0.3</v>
      </c>
      <c r="P97" s="27">
        <v>0</v>
      </c>
      <c r="Q97" s="27">
        <v>12</v>
      </c>
    </row>
    <row r="98" spans="2:17" x14ac:dyDescent="0.3">
      <c r="B98" s="6" t="s">
        <v>701</v>
      </c>
      <c r="C98" s="27">
        <v>33</v>
      </c>
      <c r="D98" s="27">
        <v>0</v>
      </c>
      <c r="E98" s="27">
        <v>0</v>
      </c>
      <c r="F98" s="27">
        <v>27</v>
      </c>
      <c r="G98" s="27">
        <v>30</v>
      </c>
      <c r="H98" s="27">
        <v>0</v>
      </c>
      <c r="I98" s="27">
        <v>0</v>
      </c>
      <c r="J98" s="6" t="s">
        <v>725</v>
      </c>
      <c r="K98" s="27">
        <v>33</v>
      </c>
      <c r="L98" s="27">
        <v>1.27</v>
      </c>
      <c r="M98" s="27">
        <v>0</v>
      </c>
      <c r="N98" s="27">
        <v>0</v>
      </c>
      <c r="O98" s="27">
        <v>0.45</v>
      </c>
      <c r="P98" s="27">
        <v>0</v>
      </c>
      <c r="Q98" s="27">
        <v>23</v>
      </c>
    </row>
    <row r="99" spans="2:17" x14ac:dyDescent="0.3">
      <c r="B99" s="6" t="s">
        <v>702</v>
      </c>
      <c r="C99" s="27">
        <v>34.5</v>
      </c>
      <c r="D99" s="27">
        <v>16</v>
      </c>
      <c r="E99" s="27">
        <v>0</v>
      </c>
      <c r="F99" s="27">
        <v>26</v>
      </c>
      <c r="G99" s="27">
        <v>29.2</v>
      </c>
      <c r="H99" s="27">
        <v>0</v>
      </c>
      <c r="I99" s="27">
        <v>14</v>
      </c>
      <c r="J99" s="6" t="s">
        <v>726</v>
      </c>
      <c r="K99" s="27">
        <v>34.5</v>
      </c>
      <c r="L99" s="27">
        <v>0.54</v>
      </c>
      <c r="M99" s="27">
        <v>0</v>
      </c>
      <c r="N99" s="27">
        <v>0</v>
      </c>
      <c r="O99" s="27">
        <v>0.5</v>
      </c>
      <c r="P99" s="27">
        <v>0</v>
      </c>
      <c r="Q99" s="27">
        <v>30</v>
      </c>
    </row>
    <row r="100" spans="2:17" x14ac:dyDescent="0.3">
      <c r="B100" s="6" t="s">
        <v>703</v>
      </c>
      <c r="C100" s="27">
        <v>38</v>
      </c>
      <c r="D100" s="27">
        <v>0</v>
      </c>
      <c r="E100" s="27">
        <v>0</v>
      </c>
      <c r="F100" s="27">
        <v>23.1</v>
      </c>
      <c r="G100" s="27">
        <v>24.5</v>
      </c>
      <c r="H100" s="27">
        <v>0</v>
      </c>
      <c r="I100" s="27">
        <v>7</v>
      </c>
      <c r="J100" s="6" t="s">
        <v>727</v>
      </c>
      <c r="K100" s="27">
        <v>38</v>
      </c>
      <c r="L100" s="27">
        <v>2.25</v>
      </c>
      <c r="M100" s="27">
        <v>0</v>
      </c>
      <c r="N100" s="27">
        <v>0.25</v>
      </c>
      <c r="O100" s="27">
        <v>0.65</v>
      </c>
      <c r="P100" s="27">
        <v>0</v>
      </c>
      <c r="Q100" s="27">
        <v>26</v>
      </c>
    </row>
    <row r="101" spans="2:17" x14ac:dyDescent="0.3">
      <c r="B101" s="6" t="s">
        <v>704</v>
      </c>
      <c r="C101" s="27">
        <v>39.5</v>
      </c>
      <c r="D101" s="27">
        <v>20.96</v>
      </c>
      <c r="E101" s="27">
        <v>0</v>
      </c>
      <c r="F101" s="27">
        <v>21.4</v>
      </c>
      <c r="G101" s="27">
        <v>23.1</v>
      </c>
      <c r="H101" s="27">
        <v>0</v>
      </c>
      <c r="I101" s="27">
        <v>49</v>
      </c>
      <c r="J101" s="6" t="s">
        <v>728</v>
      </c>
      <c r="K101" s="27">
        <v>39.5</v>
      </c>
      <c r="L101" s="27">
        <v>1.41</v>
      </c>
      <c r="M101" s="27">
        <v>0</v>
      </c>
      <c r="N101" s="27">
        <v>0.35</v>
      </c>
      <c r="O101" s="27">
        <v>0.7</v>
      </c>
      <c r="P101" s="27">
        <v>0</v>
      </c>
      <c r="Q101" s="27">
        <v>34</v>
      </c>
    </row>
    <row r="102" spans="2:17" x14ac:dyDescent="0.3">
      <c r="B102" s="6" t="s">
        <v>705</v>
      </c>
      <c r="C102" s="27">
        <v>43</v>
      </c>
      <c r="D102" s="27">
        <v>0</v>
      </c>
      <c r="E102" s="27">
        <v>0</v>
      </c>
      <c r="F102" s="27">
        <v>18.399999999999999</v>
      </c>
      <c r="G102" s="27">
        <v>19.2</v>
      </c>
      <c r="H102" s="27">
        <v>0</v>
      </c>
      <c r="I102" s="27">
        <v>11</v>
      </c>
      <c r="J102" s="6" t="s">
        <v>729</v>
      </c>
      <c r="K102" s="27">
        <v>43</v>
      </c>
      <c r="L102" s="27">
        <v>0</v>
      </c>
      <c r="M102" s="27">
        <v>0</v>
      </c>
      <c r="N102" s="27">
        <v>0.55000000000000004</v>
      </c>
      <c r="O102" s="27">
        <v>1</v>
      </c>
      <c r="P102" s="27">
        <v>0</v>
      </c>
      <c r="Q102" s="27">
        <v>0</v>
      </c>
    </row>
    <row r="103" spans="2:17" x14ac:dyDescent="0.3">
      <c r="B103" s="6" t="s">
        <v>706</v>
      </c>
      <c r="C103" s="27">
        <v>44.5</v>
      </c>
      <c r="D103" s="27">
        <v>16.87</v>
      </c>
      <c r="E103" s="27">
        <v>0</v>
      </c>
      <c r="F103" s="27">
        <v>17.100000000000001</v>
      </c>
      <c r="G103" s="27">
        <v>17.8</v>
      </c>
      <c r="H103" s="27">
        <v>0</v>
      </c>
      <c r="I103" s="27">
        <v>89</v>
      </c>
      <c r="J103" s="6" t="s">
        <v>730</v>
      </c>
      <c r="K103" s="27">
        <v>44.5</v>
      </c>
      <c r="L103" s="27">
        <v>1.46</v>
      </c>
      <c r="M103" s="27">
        <v>0</v>
      </c>
      <c r="N103" s="27">
        <v>0.7</v>
      </c>
      <c r="O103" s="27">
        <v>1.1000000000000001</v>
      </c>
      <c r="P103" s="27">
        <v>0</v>
      </c>
      <c r="Q103" s="27">
        <v>73</v>
      </c>
    </row>
    <row r="104" spans="2:17" x14ac:dyDescent="0.3">
      <c r="B104" s="6" t="s">
        <v>707</v>
      </c>
      <c r="C104" s="27">
        <v>47</v>
      </c>
      <c r="D104" s="27">
        <v>15.8</v>
      </c>
      <c r="E104" s="27">
        <v>0</v>
      </c>
      <c r="F104" s="27">
        <v>14.9</v>
      </c>
      <c r="G104" s="27">
        <v>15.6</v>
      </c>
      <c r="H104" s="27">
        <v>0</v>
      </c>
      <c r="I104" s="27">
        <v>27</v>
      </c>
      <c r="J104" s="6" t="s">
        <v>731</v>
      </c>
      <c r="K104" s="27">
        <v>47</v>
      </c>
      <c r="L104" s="27">
        <v>2.4</v>
      </c>
      <c r="M104" s="27">
        <v>0</v>
      </c>
      <c r="N104" s="27">
        <v>0.95</v>
      </c>
      <c r="O104" s="27">
        <v>1.3</v>
      </c>
      <c r="P104" s="27">
        <v>0</v>
      </c>
      <c r="Q104" s="27">
        <v>5</v>
      </c>
    </row>
    <row r="105" spans="2:17" x14ac:dyDescent="0.3">
      <c r="B105" s="6" t="s">
        <v>708</v>
      </c>
      <c r="C105" s="27">
        <v>49.5</v>
      </c>
      <c r="D105" s="27">
        <v>10.89</v>
      </c>
      <c r="E105" s="27">
        <v>0</v>
      </c>
      <c r="F105" s="27">
        <v>12.8</v>
      </c>
      <c r="G105" s="27">
        <v>13.5</v>
      </c>
      <c r="H105" s="27">
        <v>0</v>
      </c>
      <c r="I105" s="27">
        <v>258</v>
      </c>
      <c r="J105" s="6" t="s">
        <v>732</v>
      </c>
      <c r="K105" s="27">
        <v>49.5</v>
      </c>
      <c r="L105" s="27">
        <v>5.7</v>
      </c>
      <c r="M105" s="27">
        <v>0</v>
      </c>
      <c r="N105" s="27">
        <v>1.35</v>
      </c>
      <c r="O105" s="27">
        <v>1.85</v>
      </c>
      <c r="P105" s="27">
        <v>0</v>
      </c>
      <c r="Q105" s="27">
        <v>82</v>
      </c>
    </row>
    <row r="106" spans="2:17" x14ac:dyDescent="0.3">
      <c r="B106" s="6" t="s">
        <v>709</v>
      </c>
      <c r="C106" s="27">
        <v>52</v>
      </c>
      <c r="D106" s="27">
        <v>5.97</v>
      </c>
      <c r="E106" s="27">
        <v>0</v>
      </c>
      <c r="F106" s="27">
        <v>10.8</v>
      </c>
      <c r="G106" s="27">
        <v>11.5</v>
      </c>
      <c r="H106" s="27">
        <v>0</v>
      </c>
      <c r="I106" s="27">
        <v>91</v>
      </c>
      <c r="J106" s="6" t="s">
        <v>733</v>
      </c>
      <c r="K106" s="27">
        <v>52</v>
      </c>
      <c r="L106" s="27">
        <v>5.58</v>
      </c>
      <c r="M106" s="27">
        <v>0</v>
      </c>
      <c r="N106" s="27">
        <v>1.85</v>
      </c>
      <c r="O106" s="27">
        <v>2.6</v>
      </c>
      <c r="P106" s="27">
        <v>0</v>
      </c>
      <c r="Q106" s="27">
        <v>50</v>
      </c>
    </row>
    <row r="107" spans="2:17" x14ac:dyDescent="0.3">
      <c r="B107" s="6" t="s">
        <v>710</v>
      </c>
      <c r="C107" s="27">
        <v>54.5</v>
      </c>
      <c r="D107" s="27">
        <v>13.4</v>
      </c>
      <c r="E107" s="27">
        <v>0</v>
      </c>
      <c r="F107" s="27">
        <v>9</v>
      </c>
      <c r="G107" s="27">
        <v>9.6999999999999993</v>
      </c>
      <c r="H107" s="27">
        <v>0</v>
      </c>
      <c r="I107" s="27">
        <v>181</v>
      </c>
      <c r="J107" s="6" t="s">
        <v>734</v>
      </c>
      <c r="K107" s="27">
        <v>54.5</v>
      </c>
      <c r="L107" s="27">
        <v>3.2</v>
      </c>
      <c r="M107" s="27">
        <v>0</v>
      </c>
      <c r="N107" s="27">
        <v>2.4500000000000002</v>
      </c>
      <c r="O107" s="27">
        <v>3.1</v>
      </c>
      <c r="P107" s="27">
        <v>0</v>
      </c>
      <c r="Q107" s="27">
        <v>14</v>
      </c>
    </row>
    <row r="108" spans="2:17" x14ac:dyDescent="0.3">
      <c r="B108" s="6" t="s">
        <v>711</v>
      </c>
      <c r="C108" s="27">
        <v>57</v>
      </c>
      <c r="D108" s="27">
        <v>8.5</v>
      </c>
      <c r="E108" s="27">
        <v>0</v>
      </c>
      <c r="F108" s="27">
        <v>7.3</v>
      </c>
      <c r="G108" s="27">
        <v>8</v>
      </c>
      <c r="H108" s="27">
        <v>0</v>
      </c>
      <c r="I108" s="27">
        <v>460</v>
      </c>
      <c r="J108" s="6" t="s">
        <v>735</v>
      </c>
      <c r="K108" s="27">
        <v>57</v>
      </c>
      <c r="L108" s="27">
        <v>4.0599999999999996</v>
      </c>
      <c r="M108" s="27">
        <v>0</v>
      </c>
      <c r="N108" s="27">
        <v>3.2</v>
      </c>
      <c r="O108" s="27">
        <v>3.9</v>
      </c>
      <c r="P108" s="27">
        <v>0</v>
      </c>
      <c r="Q108" s="27">
        <v>38</v>
      </c>
    </row>
    <row r="109" spans="2:17" x14ac:dyDescent="0.3">
      <c r="B109" s="6" t="s">
        <v>712</v>
      </c>
      <c r="C109" s="27">
        <v>59.5</v>
      </c>
      <c r="D109" s="27">
        <v>6.2</v>
      </c>
      <c r="E109" s="27">
        <v>-3.12</v>
      </c>
      <c r="F109" s="27">
        <v>5.9</v>
      </c>
      <c r="G109" s="27">
        <v>6.5</v>
      </c>
      <c r="H109" s="27">
        <v>118</v>
      </c>
      <c r="I109" s="27">
        <v>338</v>
      </c>
      <c r="J109" s="6" t="s">
        <v>736</v>
      </c>
      <c r="K109" s="27">
        <v>59.5</v>
      </c>
      <c r="L109" s="27">
        <v>4.18</v>
      </c>
      <c r="M109" s="27">
        <v>0</v>
      </c>
      <c r="N109" s="27">
        <v>4.2</v>
      </c>
      <c r="O109" s="27">
        <v>4.9000000000000004</v>
      </c>
      <c r="P109" s="27">
        <v>0</v>
      </c>
      <c r="Q109" s="27">
        <v>53</v>
      </c>
    </row>
    <row r="110" spans="2:17" x14ac:dyDescent="0.3">
      <c r="B110" s="6" t="s">
        <v>713</v>
      </c>
      <c r="C110" s="27">
        <v>62.5</v>
      </c>
      <c r="D110" s="27">
        <v>4.9000000000000004</v>
      </c>
      <c r="E110" s="27">
        <v>0</v>
      </c>
      <c r="F110" s="27">
        <v>4.3</v>
      </c>
      <c r="G110" s="27">
        <v>5</v>
      </c>
      <c r="H110" s="27">
        <v>0</v>
      </c>
      <c r="I110" s="27">
        <v>61</v>
      </c>
      <c r="J110" s="6" t="s">
        <v>737</v>
      </c>
      <c r="K110" s="27">
        <v>62.5</v>
      </c>
      <c r="L110" s="27">
        <v>5.6</v>
      </c>
      <c r="M110" s="27">
        <v>0</v>
      </c>
      <c r="N110" s="27">
        <v>5.7</v>
      </c>
      <c r="O110" s="27">
        <v>6.4</v>
      </c>
      <c r="P110" s="27">
        <v>0</v>
      </c>
      <c r="Q110" s="27">
        <v>33</v>
      </c>
    </row>
    <row r="111" spans="2:17" x14ac:dyDescent="0.3">
      <c r="B111" s="6" t="s">
        <v>714</v>
      </c>
      <c r="C111" s="27">
        <v>64.5</v>
      </c>
      <c r="D111" s="27">
        <v>3.8</v>
      </c>
      <c r="E111" s="27">
        <v>0</v>
      </c>
      <c r="F111" s="27">
        <v>3.6</v>
      </c>
      <c r="G111" s="27">
        <v>3.8</v>
      </c>
      <c r="H111" s="27">
        <v>0</v>
      </c>
      <c r="I111" s="27">
        <v>444</v>
      </c>
      <c r="J111" s="6" t="s">
        <v>738</v>
      </c>
      <c r="K111" s="27">
        <v>64.5</v>
      </c>
      <c r="L111" s="27">
        <v>15.9</v>
      </c>
      <c r="M111" s="27">
        <v>0</v>
      </c>
      <c r="N111" s="27">
        <v>6.8</v>
      </c>
      <c r="O111" s="27">
        <v>7.7</v>
      </c>
      <c r="P111" s="27">
        <v>0</v>
      </c>
      <c r="Q111" s="27">
        <v>19</v>
      </c>
    </row>
    <row r="112" spans="2:17" x14ac:dyDescent="0.3">
      <c r="B112" s="6" t="s">
        <v>715</v>
      </c>
      <c r="C112" s="27">
        <v>67.5</v>
      </c>
      <c r="D112" s="27">
        <v>2.8</v>
      </c>
      <c r="E112" s="27">
        <v>-2.29</v>
      </c>
      <c r="F112" s="27">
        <v>2.4500000000000002</v>
      </c>
      <c r="G112" s="27">
        <v>3.2</v>
      </c>
      <c r="H112" s="27">
        <v>93</v>
      </c>
      <c r="I112" s="27">
        <v>182</v>
      </c>
      <c r="J112" s="6" t="s">
        <v>739</v>
      </c>
      <c r="K112" s="27">
        <v>67.5</v>
      </c>
      <c r="L112" s="27">
        <v>7</v>
      </c>
      <c r="M112" s="27">
        <v>0</v>
      </c>
      <c r="N112" s="27">
        <v>8.6999999999999993</v>
      </c>
      <c r="O112" s="27">
        <v>9.5</v>
      </c>
      <c r="P112" s="27">
        <v>0</v>
      </c>
      <c r="Q112" s="27">
        <v>47</v>
      </c>
    </row>
    <row r="113" spans="2:17" x14ac:dyDescent="0.3">
      <c r="B113" s="6" t="s">
        <v>716</v>
      </c>
      <c r="C113" s="27">
        <v>69.5</v>
      </c>
      <c r="D113" s="27">
        <v>3.1</v>
      </c>
      <c r="E113" s="27">
        <v>0</v>
      </c>
      <c r="F113" s="27">
        <v>1.95</v>
      </c>
      <c r="G113" s="27">
        <v>2.4</v>
      </c>
      <c r="H113" s="27">
        <v>0</v>
      </c>
      <c r="I113" s="27">
        <v>546</v>
      </c>
      <c r="J113" s="6" t="s">
        <v>740</v>
      </c>
      <c r="K113" s="27">
        <v>69.5</v>
      </c>
      <c r="L113" s="27">
        <v>21.4</v>
      </c>
      <c r="M113" s="27">
        <v>0</v>
      </c>
      <c r="N113" s="27">
        <v>10.1</v>
      </c>
      <c r="O113" s="27">
        <v>11</v>
      </c>
      <c r="P113" s="27">
        <v>0</v>
      </c>
      <c r="Q113" s="27">
        <v>18</v>
      </c>
    </row>
    <row r="114" spans="2:17" x14ac:dyDescent="0.3">
      <c r="B114" s="6" t="s">
        <v>717</v>
      </c>
      <c r="C114" s="27">
        <v>72.5</v>
      </c>
      <c r="D114" s="27">
        <v>2.2000000000000002</v>
      </c>
      <c r="E114" s="27">
        <v>0</v>
      </c>
      <c r="F114" s="27">
        <v>1.25</v>
      </c>
      <c r="G114" s="27">
        <v>1.9</v>
      </c>
      <c r="H114" s="27">
        <v>0</v>
      </c>
      <c r="I114" s="27">
        <v>36</v>
      </c>
      <c r="J114" s="6" t="s">
        <v>741</v>
      </c>
      <c r="K114" s="27">
        <v>72.5</v>
      </c>
      <c r="L114" s="27">
        <v>0</v>
      </c>
      <c r="M114" s="27">
        <v>0</v>
      </c>
      <c r="N114" s="27">
        <v>12.5</v>
      </c>
      <c r="O114" s="27">
        <v>13.3</v>
      </c>
      <c r="P114" s="27">
        <v>0</v>
      </c>
      <c r="Q114" s="27">
        <v>0</v>
      </c>
    </row>
    <row r="115" spans="2:17" x14ac:dyDescent="0.3">
      <c r="B115" s="6" t="s">
        <v>718</v>
      </c>
      <c r="C115" s="27">
        <v>74.5</v>
      </c>
      <c r="D115" s="27">
        <v>1.78</v>
      </c>
      <c r="E115" s="27">
        <v>0</v>
      </c>
      <c r="F115" s="27">
        <v>0.65</v>
      </c>
      <c r="G115" s="27">
        <v>1.55</v>
      </c>
      <c r="H115" s="27">
        <v>0</v>
      </c>
      <c r="I115" s="27">
        <v>162</v>
      </c>
      <c r="J115" s="6" t="s">
        <v>742</v>
      </c>
      <c r="K115" s="27">
        <v>74.5</v>
      </c>
      <c r="L115" s="27">
        <v>24.5</v>
      </c>
      <c r="M115" s="27">
        <v>0</v>
      </c>
      <c r="N115" s="27">
        <v>14.2</v>
      </c>
      <c r="O115" s="27">
        <v>15</v>
      </c>
      <c r="P115" s="27">
        <v>0</v>
      </c>
      <c r="Q115" s="27">
        <v>33</v>
      </c>
    </row>
    <row r="116" spans="2:17" x14ac:dyDescent="0.3">
      <c r="B116" s="6" t="s">
        <v>719</v>
      </c>
      <c r="C116" s="27">
        <v>80</v>
      </c>
      <c r="D116" s="27">
        <v>1.25</v>
      </c>
      <c r="E116" s="27">
        <v>0</v>
      </c>
      <c r="F116" s="27">
        <v>0.25</v>
      </c>
      <c r="G116" s="27">
        <v>0.85</v>
      </c>
      <c r="H116" s="27">
        <v>0</v>
      </c>
      <c r="I116" s="27">
        <v>22</v>
      </c>
      <c r="J116" s="6" t="s">
        <v>743</v>
      </c>
      <c r="K116" s="27">
        <v>80</v>
      </c>
      <c r="L116" s="27">
        <v>0</v>
      </c>
      <c r="M116" s="27">
        <v>0</v>
      </c>
      <c r="N116" s="27">
        <v>19.2</v>
      </c>
      <c r="O116" s="27">
        <v>19.899999999999999</v>
      </c>
      <c r="P116" s="27">
        <v>0</v>
      </c>
      <c r="Q116" s="27">
        <v>0</v>
      </c>
    </row>
    <row r="117" spans="2:17" x14ac:dyDescent="0.3">
      <c r="B117" s="6" t="s">
        <v>720</v>
      </c>
      <c r="C117" s="27">
        <v>85</v>
      </c>
      <c r="D117" s="27">
        <v>0</v>
      </c>
      <c r="E117" s="27">
        <v>0</v>
      </c>
      <c r="F117" s="27">
        <v>0.05</v>
      </c>
      <c r="G117" s="27">
        <v>0.45</v>
      </c>
      <c r="H117" s="27">
        <v>0</v>
      </c>
      <c r="I117" s="27">
        <v>75</v>
      </c>
      <c r="J117" s="6" t="s">
        <v>744</v>
      </c>
      <c r="K117" s="27">
        <v>85</v>
      </c>
      <c r="L117" s="27">
        <v>0</v>
      </c>
      <c r="M117" s="27">
        <v>0</v>
      </c>
      <c r="N117" s="27">
        <v>23.6</v>
      </c>
      <c r="O117" s="27">
        <v>24.9</v>
      </c>
      <c r="P117" s="27">
        <v>0</v>
      </c>
      <c r="Q117" s="27">
        <v>9</v>
      </c>
    </row>
    <row r="118" spans="2:17" x14ac:dyDescent="0.3">
      <c r="B118" s="6" t="s">
        <v>721</v>
      </c>
      <c r="C118" s="27">
        <v>90</v>
      </c>
      <c r="D118" s="27">
        <v>0</v>
      </c>
      <c r="E118" s="27">
        <v>0</v>
      </c>
      <c r="F118" s="27">
        <v>0</v>
      </c>
      <c r="G118" s="27">
        <v>0.35</v>
      </c>
      <c r="H118" s="27">
        <v>0</v>
      </c>
      <c r="I118" s="27">
        <v>0</v>
      </c>
      <c r="J118" s="6" t="s">
        <v>745</v>
      </c>
      <c r="K118" s="27">
        <v>90</v>
      </c>
      <c r="L118" s="27">
        <v>25.2</v>
      </c>
      <c r="M118" s="27">
        <v>0</v>
      </c>
      <c r="N118" s="27">
        <v>28.2</v>
      </c>
      <c r="O118" s="27">
        <v>30.8</v>
      </c>
      <c r="P118" s="27">
        <v>0</v>
      </c>
      <c r="Q118" s="27">
        <v>10</v>
      </c>
    </row>
    <row r="119" spans="2:17" x14ac:dyDescent="0.3">
      <c r="B119" s="6" t="s">
        <v>746</v>
      </c>
      <c r="C119" s="27">
        <v>32.5</v>
      </c>
      <c r="D119" s="27">
        <v>0</v>
      </c>
      <c r="E119" s="27">
        <v>0</v>
      </c>
      <c r="F119" s="27">
        <v>28.1</v>
      </c>
      <c r="G119" s="27">
        <v>30.3</v>
      </c>
      <c r="H119" s="27">
        <v>0</v>
      </c>
      <c r="I119" s="27">
        <v>0</v>
      </c>
      <c r="J119" s="6" t="s">
        <v>769</v>
      </c>
      <c r="K119" s="27">
        <v>32.5</v>
      </c>
      <c r="L119" s="27">
        <v>0</v>
      </c>
      <c r="M119" s="27">
        <v>0</v>
      </c>
      <c r="N119" s="27">
        <v>0.45</v>
      </c>
      <c r="O119" s="27">
        <v>1.1000000000000001</v>
      </c>
      <c r="P119" s="27">
        <v>0</v>
      </c>
      <c r="Q119" s="27">
        <v>0</v>
      </c>
    </row>
    <row r="120" spans="2:17" x14ac:dyDescent="0.3">
      <c r="B120" s="6" t="s">
        <v>747</v>
      </c>
      <c r="C120" s="27">
        <v>35</v>
      </c>
      <c r="D120" s="27">
        <v>0</v>
      </c>
      <c r="E120" s="27">
        <v>0</v>
      </c>
      <c r="F120" s="27">
        <v>24.9</v>
      </c>
      <c r="G120" s="27">
        <v>29</v>
      </c>
      <c r="H120" s="27">
        <v>0</v>
      </c>
      <c r="I120" s="27">
        <v>0</v>
      </c>
      <c r="J120" s="6" t="s">
        <v>770</v>
      </c>
      <c r="K120" s="27">
        <v>35</v>
      </c>
      <c r="L120" s="27">
        <v>0</v>
      </c>
      <c r="M120" s="27">
        <v>0</v>
      </c>
      <c r="N120" s="27">
        <v>0.65</v>
      </c>
      <c r="O120" s="27">
        <v>1.35</v>
      </c>
      <c r="P120" s="27">
        <v>0</v>
      </c>
      <c r="Q120" s="27">
        <v>0</v>
      </c>
    </row>
    <row r="121" spans="2:17" x14ac:dyDescent="0.3">
      <c r="B121" s="6" t="s">
        <v>748</v>
      </c>
      <c r="C121" s="27">
        <v>37.5</v>
      </c>
      <c r="D121" s="27">
        <v>0</v>
      </c>
      <c r="E121" s="27">
        <v>0</v>
      </c>
      <c r="F121" s="27">
        <v>23.3</v>
      </c>
      <c r="G121" s="27">
        <v>26.3</v>
      </c>
      <c r="H121" s="27">
        <v>0</v>
      </c>
      <c r="I121" s="27">
        <v>0</v>
      </c>
      <c r="J121" s="6" t="s">
        <v>771</v>
      </c>
      <c r="K121" s="27">
        <v>37.5</v>
      </c>
      <c r="L121" s="27">
        <v>0</v>
      </c>
      <c r="M121" s="27">
        <v>0</v>
      </c>
      <c r="N121" s="27">
        <v>0.9</v>
      </c>
      <c r="O121" s="27">
        <v>1.6</v>
      </c>
      <c r="P121" s="27">
        <v>0</v>
      </c>
      <c r="Q121" s="27">
        <v>0</v>
      </c>
    </row>
    <row r="122" spans="2:17" x14ac:dyDescent="0.3">
      <c r="B122" s="6" t="s">
        <v>749</v>
      </c>
      <c r="C122" s="27">
        <v>40</v>
      </c>
      <c r="D122" s="27">
        <v>21.06</v>
      </c>
      <c r="E122" s="27">
        <v>0</v>
      </c>
      <c r="F122" s="27">
        <v>21.6</v>
      </c>
      <c r="G122" s="27">
        <v>22.8</v>
      </c>
      <c r="H122" s="27">
        <v>0</v>
      </c>
      <c r="I122" s="27">
        <v>4</v>
      </c>
      <c r="J122" s="6" t="s">
        <v>772</v>
      </c>
      <c r="K122" s="27">
        <v>40</v>
      </c>
      <c r="L122" s="27">
        <v>0</v>
      </c>
      <c r="M122" s="27">
        <v>0</v>
      </c>
      <c r="N122" s="27">
        <v>1.2</v>
      </c>
      <c r="O122" s="27">
        <v>1.95</v>
      </c>
      <c r="P122" s="27">
        <v>0</v>
      </c>
      <c r="Q122" s="27">
        <v>0</v>
      </c>
    </row>
    <row r="123" spans="2:17" x14ac:dyDescent="0.3">
      <c r="B123" s="6" t="s">
        <v>750</v>
      </c>
      <c r="C123" s="27">
        <v>42.5</v>
      </c>
      <c r="D123" s="27">
        <v>0</v>
      </c>
      <c r="E123" s="27">
        <v>0</v>
      </c>
      <c r="F123" s="27">
        <v>19.600000000000001</v>
      </c>
      <c r="G123" s="27">
        <v>20.7</v>
      </c>
      <c r="H123" s="27">
        <v>0</v>
      </c>
      <c r="I123" s="27">
        <v>0</v>
      </c>
      <c r="J123" s="6" t="s">
        <v>773</v>
      </c>
      <c r="K123" s="27">
        <v>42.5</v>
      </c>
      <c r="L123" s="27">
        <v>0</v>
      </c>
      <c r="M123" s="27">
        <v>0</v>
      </c>
      <c r="N123" s="27">
        <v>1.55</v>
      </c>
      <c r="O123" s="27">
        <v>2.2999999999999998</v>
      </c>
      <c r="P123" s="27">
        <v>0</v>
      </c>
      <c r="Q123" s="27">
        <v>0</v>
      </c>
    </row>
    <row r="124" spans="2:17" x14ac:dyDescent="0.3">
      <c r="B124" s="6" t="s">
        <v>751</v>
      </c>
      <c r="C124" s="27">
        <v>45</v>
      </c>
      <c r="D124" s="27">
        <v>0</v>
      </c>
      <c r="E124" s="27">
        <v>0</v>
      </c>
      <c r="F124" s="27">
        <v>17.7</v>
      </c>
      <c r="G124" s="27">
        <v>18.7</v>
      </c>
      <c r="H124" s="27">
        <v>0</v>
      </c>
      <c r="I124" s="27">
        <v>0</v>
      </c>
      <c r="J124" s="6" t="s">
        <v>774</v>
      </c>
      <c r="K124" s="27">
        <v>45</v>
      </c>
      <c r="L124" s="27">
        <v>0</v>
      </c>
      <c r="M124" s="27">
        <v>0</v>
      </c>
      <c r="N124" s="27">
        <v>2</v>
      </c>
      <c r="O124" s="27">
        <v>2.95</v>
      </c>
      <c r="P124" s="27">
        <v>0</v>
      </c>
      <c r="Q124" s="27">
        <v>2</v>
      </c>
    </row>
    <row r="125" spans="2:17" x14ac:dyDescent="0.3">
      <c r="B125" s="6" t="s">
        <v>752</v>
      </c>
      <c r="C125" s="27">
        <v>47.5</v>
      </c>
      <c r="D125" s="27">
        <v>0</v>
      </c>
      <c r="E125" s="27">
        <v>0</v>
      </c>
      <c r="F125" s="27">
        <v>15.8</v>
      </c>
      <c r="G125" s="27">
        <v>16.8</v>
      </c>
      <c r="H125" s="27">
        <v>0</v>
      </c>
      <c r="I125" s="27">
        <v>0</v>
      </c>
      <c r="J125" s="6" t="s">
        <v>775</v>
      </c>
      <c r="K125" s="27">
        <v>47.5</v>
      </c>
      <c r="L125" s="27">
        <v>0</v>
      </c>
      <c r="M125" s="27">
        <v>0</v>
      </c>
      <c r="N125" s="27">
        <v>2.6</v>
      </c>
      <c r="O125" s="27">
        <v>3.5</v>
      </c>
      <c r="P125" s="27">
        <v>0</v>
      </c>
      <c r="Q125" s="27">
        <v>0</v>
      </c>
    </row>
    <row r="126" spans="2:17" x14ac:dyDescent="0.3">
      <c r="B126" s="6" t="s">
        <v>753</v>
      </c>
      <c r="C126" s="27">
        <v>50</v>
      </c>
      <c r="D126" s="27">
        <v>0</v>
      </c>
      <c r="E126" s="27">
        <v>0</v>
      </c>
      <c r="F126" s="27">
        <v>14</v>
      </c>
      <c r="G126" s="27">
        <v>15</v>
      </c>
      <c r="H126" s="27">
        <v>0</v>
      </c>
      <c r="I126" s="27">
        <v>5</v>
      </c>
      <c r="J126" s="6" t="s">
        <v>776</v>
      </c>
      <c r="K126" s="27">
        <v>50</v>
      </c>
      <c r="L126" s="27">
        <v>3.4</v>
      </c>
      <c r="M126" s="27">
        <v>0</v>
      </c>
      <c r="N126" s="27">
        <v>3.2</v>
      </c>
      <c r="O126" s="27">
        <v>4.4000000000000004</v>
      </c>
      <c r="P126" s="27">
        <v>0</v>
      </c>
      <c r="Q126" s="27">
        <v>20</v>
      </c>
    </row>
    <row r="127" spans="2:17" x14ac:dyDescent="0.3">
      <c r="B127" s="6" t="s">
        <v>754</v>
      </c>
      <c r="C127" s="27">
        <v>52.5</v>
      </c>
      <c r="D127" s="27">
        <v>0</v>
      </c>
      <c r="E127" s="27">
        <v>0</v>
      </c>
      <c r="F127" s="27">
        <v>12.3</v>
      </c>
      <c r="G127" s="27">
        <v>13.4</v>
      </c>
      <c r="H127" s="27">
        <v>0</v>
      </c>
      <c r="I127" s="27">
        <v>0</v>
      </c>
      <c r="J127" s="6" t="s">
        <v>777</v>
      </c>
      <c r="K127" s="27">
        <v>52.5</v>
      </c>
      <c r="L127" s="27">
        <v>0</v>
      </c>
      <c r="M127" s="27">
        <v>0</v>
      </c>
      <c r="N127" s="27">
        <v>4</v>
      </c>
      <c r="O127" s="27">
        <v>5.0999999999999996</v>
      </c>
      <c r="P127" s="27">
        <v>0</v>
      </c>
      <c r="Q127" s="27">
        <v>0</v>
      </c>
    </row>
    <row r="128" spans="2:17" x14ac:dyDescent="0.3">
      <c r="B128" s="6" t="s">
        <v>755</v>
      </c>
      <c r="C128" s="27">
        <v>55</v>
      </c>
      <c r="D128" s="27">
        <v>0</v>
      </c>
      <c r="E128" s="27">
        <v>0</v>
      </c>
      <c r="F128" s="27">
        <v>10.7</v>
      </c>
      <c r="G128" s="27">
        <v>11.8</v>
      </c>
      <c r="H128" s="27">
        <v>0</v>
      </c>
      <c r="I128" s="27">
        <v>8</v>
      </c>
      <c r="J128" s="6" t="s">
        <v>778</v>
      </c>
      <c r="K128" s="27">
        <v>55</v>
      </c>
      <c r="L128" s="27">
        <v>0</v>
      </c>
      <c r="M128" s="27">
        <v>0</v>
      </c>
      <c r="N128" s="27">
        <v>4.9000000000000004</v>
      </c>
      <c r="O128" s="27">
        <v>6</v>
      </c>
      <c r="P128" s="27">
        <v>0</v>
      </c>
      <c r="Q128" s="27">
        <v>0</v>
      </c>
    </row>
    <row r="129" spans="2:17" x14ac:dyDescent="0.3">
      <c r="B129" s="6" t="s">
        <v>756</v>
      </c>
      <c r="C129" s="27">
        <v>57.5</v>
      </c>
      <c r="D129" s="27">
        <v>0</v>
      </c>
      <c r="E129" s="27">
        <v>0</v>
      </c>
      <c r="F129" s="27">
        <v>9.3000000000000007</v>
      </c>
      <c r="G129" s="27">
        <v>10.4</v>
      </c>
      <c r="H129" s="27">
        <v>0</v>
      </c>
      <c r="I129" s="27">
        <v>1</v>
      </c>
      <c r="J129" s="6" t="s">
        <v>779</v>
      </c>
      <c r="K129" s="27">
        <v>57.5</v>
      </c>
      <c r="L129" s="27">
        <v>5.0999999999999996</v>
      </c>
      <c r="M129" s="27">
        <v>0</v>
      </c>
      <c r="N129" s="27">
        <v>5.6</v>
      </c>
      <c r="O129" s="27">
        <v>7.3</v>
      </c>
      <c r="P129" s="27">
        <v>0</v>
      </c>
      <c r="Q129" s="27">
        <v>5</v>
      </c>
    </row>
    <row r="130" spans="2:17" x14ac:dyDescent="0.3">
      <c r="B130" s="6" t="s">
        <v>757</v>
      </c>
      <c r="C130" s="27">
        <v>60</v>
      </c>
      <c r="D130" s="27">
        <v>12</v>
      </c>
      <c r="E130" s="27">
        <v>0</v>
      </c>
      <c r="F130" s="27">
        <v>7.9</v>
      </c>
      <c r="G130" s="27">
        <v>9.1</v>
      </c>
      <c r="H130" s="27">
        <v>0</v>
      </c>
      <c r="I130" s="27">
        <v>19</v>
      </c>
      <c r="J130" s="6" t="s">
        <v>780</v>
      </c>
      <c r="K130" s="27">
        <v>60</v>
      </c>
      <c r="L130" s="27">
        <v>6.9</v>
      </c>
      <c r="M130" s="27">
        <v>0</v>
      </c>
      <c r="N130" s="27">
        <v>7.1</v>
      </c>
      <c r="O130" s="27">
        <v>7.9</v>
      </c>
      <c r="P130" s="27">
        <v>0</v>
      </c>
      <c r="Q130" s="27">
        <v>1</v>
      </c>
    </row>
    <row r="131" spans="2:17" x14ac:dyDescent="0.3">
      <c r="B131" s="6" t="s">
        <v>758</v>
      </c>
      <c r="C131" s="27">
        <v>62.5</v>
      </c>
      <c r="D131" s="27">
        <v>0</v>
      </c>
      <c r="E131" s="27">
        <v>0</v>
      </c>
      <c r="F131" s="27">
        <v>6.8</v>
      </c>
      <c r="G131" s="27">
        <v>7.9</v>
      </c>
      <c r="H131" s="27">
        <v>0</v>
      </c>
      <c r="I131" s="27">
        <v>9</v>
      </c>
      <c r="J131" s="6" t="s">
        <v>781</v>
      </c>
      <c r="K131" s="27">
        <v>62.5</v>
      </c>
      <c r="L131" s="27">
        <v>0</v>
      </c>
      <c r="M131" s="27">
        <v>0</v>
      </c>
      <c r="N131" s="27">
        <v>8.4</v>
      </c>
      <c r="O131" s="27">
        <v>9.5</v>
      </c>
      <c r="P131" s="27">
        <v>0</v>
      </c>
      <c r="Q131" s="27">
        <v>0</v>
      </c>
    </row>
    <row r="132" spans="2:17" x14ac:dyDescent="0.3">
      <c r="B132" s="6" t="s">
        <v>759</v>
      </c>
      <c r="C132" s="27">
        <v>65</v>
      </c>
      <c r="D132" s="27">
        <v>0</v>
      </c>
      <c r="E132" s="27">
        <v>0</v>
      </c>
      <c r="F132" s="27">
        <v>5.7</v>
      </c>
      <c r="G132" s="27">
        <v>6.8</v>
      </c>
      <c r="H132" s="27">
        <v>0</v>
      </c>
      <c r="I132" s="27">
        <v>0</v>
      </c>
      <c r="J132" s="6" t="s">
        <v>782</v>
      </c>
      <c r="K132" s="27">
        <v>65</v>
      </c>
      <c r="L132" s="27">
        <v>0</v>
      </c>
      <c r="M132" s="27">
        <v>0</v>
      </c>
      <c r="N132" s="27">
        <v>9.6999999999999993</v>
      </c>
      <c r="O132" s="27">
        <v>10.9</v>
      </c>
      <c r="P132" s="27">
        <v>0</v>
      </c>
      <c r="Q132" s="27">
        <v>12</v>
      </c>
    </row>
    <row r="133" spans="2:17" x14ac:dyDescent="0.3">
      <c r="B133" s="6" t="s">
        <v>760</v>
      </c>
      <c r="C133" s="27">
        <v>67.5</v>
      </c>
      <c r="D133" s="27">
        <v>0</v>
      </c>
      <c r="E133" s="27">
        <v>0</v>
      </c>
      <c r="F133" s="27">
        <v>4.9000000000000004</v>
      </c>
      <c r="G133" s="27">
        <v>6.2</v>
      </c>
      <c r="H133" s="27">
        <v>0</v>
      </c>
      <c r="I133" s="27">
        <v>20</v>
      </c>
      <c r="J133" s="6" t="s">
        <v>783</v>
      </c>
      <c r="K133" s="27">
        <v>67.5</v>
      </c>
      <c r="L133" s="27">
        <v>0</v>
      </c>
      <c r="M133" s="27">
        <v>0</v>
      </c>
      <c r="N133" s="27">
        <v>11.2</v>
      </c>
      <c r="O133" s="27">
        <v>12.5</v>
      </c>
      <c r="P133" s="27">
        <v>0</v>
      </c>
      <c r="Q133" s="27">
        <v>0</v>
      </c>
    </row>
    <row r="134" spans="2:17" x14ac:dyDescent="0.3">
      <c r="B134" s="6" t="s">
        <v>761</v>
      </c>
      <c r="C134" s="27">
        <v>70</v>
      </c>
      <c r="D134" s="27">
        <v>0</v>
      </c>
      <c r="E134" s="27">
        <v>0</v>
      </c>
      <c r="F134" s="27">
        <v>3.9</v>
      </c>
      <c r="G134" s="27">
        <v>5</v>
      </c>
      <c r="H134" s="27">
        <v>0</v>
      </c>
      <c r="I134" s="27">
        <v>2</v>
      </c>
      <c r="J134" s="6" t="s">
        <v>784</v>
      </c>
      <c r="K134" s="27">
        <v>70</v>
      </c>
      <c r="L134" s="27">
        <v>0</v>
      </c>
      <c r="M134" s="27">
        <v>0</v>
      </c>
      <c r="N134" s="27">
        <v>12.8</v>
      </c>
      <c r="O134" s="27">
        <v>13.8</v>
      </c>
      <c r="P134" s="27">
        <v>0</v>
      </c>
      <c r="Q134" s="27">
        <v>0</v>
      </c>
    </row>
    <row r="135" spans="2:17" x14ac:dyDescent="0.3">
      <c r="B135" s="6" t="s">
        <v>762</v>
      </c>
      <c r="C135" s="27">
        <v>72.5</v>
      </c>
      <c r="D135" s="27">
        <v>4</v>
      </c>
      <c r="E135" s="27">
        <v>0</v>
      </c>
      <c r="F135" s="27">
        <v>3.2</v>
      </c>
      <c r="G135" s="27">
        <v>4.4000000000000004</v>
      </c>
      <c r="H135" s="27">
        <v>0</v>
      </c>
      <c r="I135" s="27">
        <v>205</v>
      </c>
      <c r="J135" s="6" t="s">
        <v>785</v>
      </c>
      <c r="K135" s="27">
        <v>72.5</v>
      </c>
      <c r="L135" s="27">
        <v>0</v>
      </c>
      <c r="M135" s="27">
        <v>0</v>
      </c>
      <c r="N135" s="27">
        <v>14.5</v>
      </c>
      <c r="O135" s="27">
        <v>15.6</v>
      </c>
      <c r="P135" s="27">
        <v>0</v>
      </c>
      <c r="Q135" s="27">
        <v>0</v>
      </c>
    </row>
    <row r="136" spans="2:17" x14ac:dyDescent="0.3">
      <c r="B136" s="6" t="s">
        <v>763</v>
      </c>
      <c r="C136" s="27">
        <v>75</v>
      </c>
      <c r="D136" s="27">
        <v>3.86</v>
      </c>
      <c r="E136" s="27">
        <v>0</v>
      </c>
      <c r="F136" s="27">
        <v>2.65</v>
      </c>
      <c r="G136" s="27">
        <v>3.7</v>
      </c>
      <c r="H136" s="27">
        <v>0</v>
      </c>
      <c r="I136" s="27">
        <v>2</v>
      </c>
      <c r="J136" s="6" t="s">
        <v>786</v>
      </c>
      <c r="K136" s="27">
        <v>75</v>
      </c>
      <c r="L136" s="27">
        <v>0</v>
      </c>
      <c r="M136" s="27">
        <v>0</v>
      </c>
      <c r="N136" s="27">
        <v>16.399999999999999</v>
      </c>
      <c r="O136" s="27">
        <v>17.5</v>
      </c>
      <c r="P136" s="27">
        <v>0</v>
      </c>
      <c r="Q136" s="27">
        <v>0</v>
      </c>
    </row>
    <row r="137" spans="2:17" x14ac:dyDescent="0.3">
      <c r="B137" s="6" t="s">
        <v>764</v>
      </c>
      <c r="C137" s="27">
        <v>80</v>
      </c>
      <c r="D137" s="27">
        <v>2.71</v>
      </c>
      <c r="E137" s="27">
        <v>0</v>
      </c>
      <c r="F137" s="27">
        <v>1.75</v>
      </c>
      <c r="G137" s="27">
        <v>2.5499999999999998</v>
      </c>
      <c r="H137" s="27">
        <v>0</v>
      </c>
      <c r="I137" s="27">
        <v>2</v>
      </c>
      <c r="J137" s="6" t="s">
        <v>787</v>
      </c>
      <c r="K137" s="27">
        <v>80</v>
      </c>
      <c r="L137" s="27">
        <v>0</v>
      </c>
      <c r="M137" s="27">
        <v>0</v>
      </c>
      <c r="N137" s="27">
        <v>20.399999999999999</v>
      </c>
      <c r="O137" s="27">
        <v>21.7</v>
      </c>
      <c r="P137" s="27">
        <v>0</v>
      </c>
      <c r="Q137" s="27">
        <v>0</v>
      </c>
    </row>
    <row r="138" spans="2:17" x14ac:dyDescent="0.3">
      <c r="B138" s="6" t="s">
        <v>765</v>
      </c>
      <c r="C138" s="27">
        <v>85</v>
      </c>
      <c r="D138" s="27">
        <v>0</v>
      </c>
      <c r="E138" s="27">
        <v>0</v>
      </c>
      <c r="F138" s="27">
        <v>1.05</v>
      </c>
      <c r="G138" s="27">
        <v>1.75</v>
      </c>
      <c r="H138" s="27">
        <v>0</v>
      </c>
      <c r="I138" s="27">
        <v>100</v>
      </c>
      <c r="J138" s="6" t="s">
        <v>788</v>
      </c>
      <c r="K138" s="27">
        <v>85</v>
      </c>
      <c r="L138" s="27">
        <v>0</v>
      </c>
      <c r="M138" s="27">
        <v>0</v>
      </c>
      <c r="N138" s="27">
        <v>24.8</v>
      </c>
      <c r="O138" s="27">
        <v>25.8</v>
      </c>
      <c r="P138" s="27">
        <v>0</v>
      </c>
      <c r="Q138" s="27">
        <v>0</v>
      </c>
    </row>
    <row r="139" spans="2:17" x14ac:dyDescent="0.3">
      <c r="B139" s="6" t="s">
        <v>766</v>
      </c>
      <c r="C139" s="27">
        <v>90</v>
      </c>
      <c r="D139" s="27">
        <v>1.45</v>
      </c>
      <c r="E139" s="27">
        <v>0</v>
      </c>
      <c r="F139" s="27">
        <v>0.6</v>
      </c>
      <c r="G139" s="27">
        <v>1.25</v>
      </c>
      <c r="H139" s="27">
        <v>0</v>
      </c>
      <c r="I139" s="27">
        <v>50</v>
      </c>
      <c r="J139" s="6" t="s">
        <v>789</v>
      </c>
      <c r="K139" s="27">
        <v>90</v>
      </c>
      <c r="L139" s="27">
        <v>0</v>
      </c>
      <c r="M139" s="27">
        <v>0</v>
      </c>
      <c r="N139" s="27">
        <v>29.3</v>
      </c>
      <c r="O139" s="27">
        <v>30.2</v>
      </c>
      <c r="P139" s="27">
        <v>0</v>
      </c>
      <c r="Q139" s="27">
        <v>0</v>
      </c>
    </row>
    <row r="140" spans="2:17" x14ac:dyDescent="0.3">
      <c r="B140" s="6" t="s">
        <v>767</v>
      </c>
      <c r="C140" s="27">
        <v>95</v>
      </c>
      <c r="D140" s="27">
        <v>0</v>
      </c>
      <c r="E140" s="27">
        <v>0</v>
      </c>
      <c r="F140" s="27">
        <v>0.3</v>
      </c>
      <c r="G140" s="27">
        <v>1</v>
      </c>
      <c r="H140" s="27">
        <v>0</v>
      </c>
      <c r="I140" s="27">
        <v>0</v>
      </c>
      <c r="J140" s="6" t="s">
        <v>790</v>
      </c>
      <c r="K140" s="27">
        <v>95</v>
      </c>
      <c r="L140" s="27">
        <v>0</v>
      </c>
      <c r="M140" s="27">
        <v>0</v>
      </c>
      <c r="N140" s="27">
        <v>32.6</v>
      </c>
      <c r="O140" s="27">
        <v>35.799999999999997</v>
      </c>
      <c r="P140" s="27">
        <v>0</v>
      </c>
      <c r="Q140" s="27">
        <v>0</v>
      </c>
    </row>
    <row r="141" spans="2:17" x14ac:dyDescent="0.3">
      <c r="B141" s="6" t="s">
        <v>768</v>
      </c>
      <c r="C141" s="27">
        <v>100</v>
      </c>
      <c r="D141" s="27">
        <v>0</v>
      </c>
      <c r="E141" s="27">
        <v>0</v>
      </c>
      <c r="F141" s="27">
        <v>0.05</v>
      </c>
      <c r="G141" s="27">
        <v>0.75</v>
      </c>
      <c r="H141" s="27">
        <v>0</v>
      </c>
      <c r="I141" s="27">
        <v>0</v>
      </c>
      <c r="J141" s="6" t="s">
        <v>791</v>
      </c>
      <c r="K141" s="27">
        <v>100</v>
      </c>
      <c r="L141" s="27">
        <v>0</v>
      </c>
      <c r="M141" s="27">
        <v>0</v>
      </c>
      <c r="N141" s="27">
        <v>37.9</v>
      </c>
      <c r="O141" s="27">
        <v>41</v>
      </c>
      <c r="P141" s="27">
        <v>0</v>
      </c>
      <c r="Q141" s="27">
        <v>0</v>
      </c>
    </row>
  </sheetData>
  <phoneticPr fontId="2" type="noConversion"/>
  <pageMargins left="0.75" right="0.75" top="1" bottom="1" header="0.5" footer="0.5"/>
  <pageSetup orientation="portrait" horizontalDpi="4294967294" verticalDpi="429496729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291"/>
  <sheetViews>
    <sheetView workbookViewId="0">
      <selection activeCell="H8" sqref="H8"/>
    </sheetView>
  </sheetViews>
  <sheetFormatPr defaultColWidth="9.109375" defaultRowHeight="13.8" x14ac:dyDescent="0.3"/>
  <cols>
    <col min="1" max="1" width="9.109375" style="6"/>
    <col min="2" max="2" width="21.6640625" style="6" bestFit="1" customWidth="1"/>
    <col min="3" max="9" width="9.109375" style="4"/>
    <col min="10" max="10" width="21.6640625" style="6" bestFit="1" customWidth="1"/>
    <col min="11" max="16" width="9.109375" style="4"/>
    <col min="17" max="16384" width="9.109375" style="6"/>
  </cols>
  <sheetData>
    <row r="2" spans="2:16" x14ac:dyDescent="0.3">
      <c r="B2" s="2" t="s">
        <v>0</v>
      </c>
      <c r="C2" s="3" t="s">
        <v>8</v>
      </c>
      <c r="E2" s="5" t="str">
        <f>"Change the Ticker symbol in Cell "&amp;ADDRESS(ROW(symbol),COLUMN(symbol),4) &amp; " and press [ENTER]"</f>
        <v>Change the Ticker symbol in Cell B3 and press [ENTER]</v>
      </c>
    </row>
    <row r="3" spans="2:16" x14ac:dyDescent="0.3">
      <c r="B3" s="6" t="s">
        <v>793</v>
      </c>
      <c r="C3" s="4">
        <v>32.61</v>
      </c>
    </row>
    <row r="5" spans="2:16" x14ac:dyDescent="0.3">
      <c r="B5" s="2" t="s">
        <v>0</v>
      </c>
      <c r="C5" s="3" t="s">
        <v>1</v>
      </c>
      <c r="D5" s="3" t="s">
        <v>2</v>
      </c>
      <c r="E5" s="3" t="s">
        <v>3</v>
      </c>
      <c r="F5" s="3" t="s">
        <v>4</v>
      </c>
      <c r="G5" s="3" t="s">
        <v>5</v>
      </c>
      <c r="H5" s="3" t="s">
        <v>6</v>
      </c>
      <c r="I5" s="3" t="s">
        <v>7</v>
      </c>
      <c r="J5" s="2" t="s">
        <v>0</v>
      </c>
      <c r="K5" s="3" t="s">
        <v>1</v>
      </c>
      <c r="L5" s="3" t="s">
        <v>2</v>
      </c>
      <c r="M5" s="3" t="s">
        <v>3</v>
      </c>
      <c r="N5" s="3" t="s">
        <v>4</v>
      </c>
      <c r="O5" s="3" t="s">
        <v>5</v>
      </c>
      <c r="P5" s="3" t="s">
        <v>6</v>
      </c>
    </row>
    <row r="6" spans="2:16" x14ac:dyDescent="0.3">
      <c r="B6" s="6" t="s">
        <v>794</v>
      </c>
      <c r="C6" s="4">
        <v>0</v>
      </c>
      <c r="D6" s="4">
        <v>0</v>
      </c>
      <c r="E6" s="4">
        <v>8.35</v>
      </c>
      <c r="F6" s="4">
        <v>9.3000000000000007</v>
      </c>
      <c r="G6" s="4">
        <v>0</v>
      </c>
      <c r="H6" s="4">
        <v>0</v>
      </c>
      <c r="I6" s="4">
        <v>21</v>
      </c>
      <c r="J6" s="6" t="s">
        <v>795</v>
      </c>
      <c r="K6" s="4">
        <v>0</v>
      </c>
      <c r="L6" s="4">
        <v>0</v>
      </c>
      <c r="M6" s="4">
        <v>0</v>
      </c>
      <c r="N6" s="4">
        <v>0.13</v>
      </c>
      <c r="O6" s="4">
        <v>0</v>
      </c>
      <c r="P6" s="4">
        <v>0</v>
      </c>
    </row>
    <row r="7" spans="2:16" x14ac:dyDescent="0.3">
      <c r="B7" s="6" t="s">
        <v>796</v>
      </c>
      <c r="C7" s="4">
        <v>0</v>
      </c>
      <c r="D7" s="4">
        <v>0</v>
      </c>
      <c r="E7" s="4">
        <v>7.3</v>
      </c>
      <c r="F7" s="4">
        <v>8.25</v>
      </c>
      <c r="G7" s="4">
        <v>0</v>
      </c>
      <c r="H7" s="4">
        <v>0</v>
      </c>
      <c r="I7" s="4">
        <v>22</v>
      </c>
      <c r="J7" s="6" t="s">
        <v>797</v>
      </c>
      <c r="K7" s="4">
        <v>0</v>
      </c>
      <c r="L7" s="4">
        <v>0</v>
      </c>
      <c r="M7" s="4">
        <v>0</v>
      </c>
      <c r="N7" s="4">
        <v>0.13</v>
      </c>
      <c r="O7" s="4">
        <v>0</v>
      </c>
      <c r="P7" s="4">
        <v>0</v>
      </c>
    </row>
    <row r="8" spans="2:16" x14ac:dyDescent="0.3">
      <c r="B8" s="6" t="s">
        <v>798</v>
      </c>
      <c r="C8" s="4">
        <v>0</v>
      </c>
      <c r="D8" s="4">
        <v>0</v>
      </c>
      <c r="E8" s="4">
        <v>6.95</v>
      </c>
      <c r="F8" s="4">
        <v>7.6</v>
      </c>
      <c r="G8" s="4">
        <v>0</v>
      </c>
      <c r="H8" s="4">
        <v>0</v>
      </c>
      <c r="I8" s="4">
        <v>22.5</v>
      </c>
      <c r="J8" s="6" t="s">
        <v>799</v>
      </c>
      <c r="K8" s="4">
        <v>0</v>
      </c>
      <c r="L8" s="4">
        <v>0</v>
      </c>
      <c r="M8" s="4">
        <v>0</v>
      </c>
      <c r="N8" s="4">
        <v>0.13</v>
      </c>
      <c r="O8" s="4">
        <v>0</v>
      </c>
      <c r="P8" s="4">
        <v>0</v>
      </c>
    </row>
    <row r="9" spans="2:16" x14ac:dyDescent="0.3">
      <c r="B9" s="6" t="s">
        <v>800</v>
      </c>
      <c r="C9" s="4">
        <v>0</v>
      </c>
      <c r="D9" s="4">
        <v>0</v>
      </c>
      <c r="E9" s="4">
        <v>6.45</v>
      </c>
      <c r="F9" s="4">
        <v>7.1</v>
      </c>
      <c r="G9" s="4">
        <v>0</v>
      </c>
      <c r="H9" s="19">
        <v>0</v>
      </c>
      <c r="I9" s="4">
        <v>23</v>
      </c>
      <c r="J9" s="6" t="s">
        <v>801</v>
      </c>
      <c r="K9" s="4">
        <v>0</v>
      </c>
      <c r="L9" s="4">
        <v>0</v>
      </c>
      <c r="M9" s="4">
        <v>0</v>
      </c>
      <c r="N9" s="4">
        <v>0.13</v>
      </c>
      <c r="O9" s="4">
        <v>0</v>
      </c>
      <c r="P9" s="4">
        <v>0</v>
      </c>
    </row>
    <row r="10" spans="2:16" x14ac:dyDescent="0.3">
      <c r="B10" s="6" t="s">
        <v>802</v>
      </c>
      <c r="C10" s="4">
        <v>0</v>
      </c>
      <c r="D10" s="4">
        <v>0</v>
      </c>
      <c r="E10" s="4">
        <v>5.95</v>
      </c>
      <c r="F10" s="4">
        <v>6.6</v>
      </c>
      <c r="G10" s="4">
        <v>0</v>
      </c>
      <c r="H10" s="4">
        <v>0</v>
      </c>
      <c r="I10" s="4">
        <v>23.5</v>
      </c>
      <c r="J10" s="6" t="s">
        <v>803</v>
      </c>
      <c r="K10" s="4">
        <v>0</v>
      </c>
      <c r="L10" s="4">
        <v>0</v>
      </c>
      <c r="M10" s="4">
        <v>0</v>
      </c>
      <c r="N10" s="4">
        <v>0.15</v>
      </c>
      <c r="O10" s="4">
        <v>0</v>
      </c>
      <c r="P10" s="4">
        <v>0</v>
      </c>
    </row>
    <row r="11" spans="2:16" x14ac:dyDescent="0.3">
      <c r="B11" s="6" t="s">
        <v>804</v>
      </c>
      <c r="C11" s="4">
        <v>0</v>
      </c>
      <c r="D11" s="4">
        <v>0</v>
      </c>
      <c r="E11" s="4">
        <v>5.45</v>
      </c>
      <c r="F11" s="4">
        <v>6.1</v>
      </c>
      <c r="G11" s="4">
        <v>0</v>
      </c>
      <c r="H11" s="4">
        <v>0</v>
      </c>
      <c r="I11" s="4">
        <v>24</v>
      </c>
      <c r="J11" s="6" t="s">
        <v>805</v>
      </c>
      <c r="K11" s="4">
        <v>0</v>
      </c>
      <c r="L11" s="4">
        <v>0</v>
      </c>
      <c r="M11" s="4">
        <v>0</v>
      </c>
      <c r="N11" s="4">
        <v>0.14000000000000001</v>
      </c>
      <c r="O11" s="4">
        <v>0</v>
      </c>
      <c r="P11" s="4">
        <v>0</v>
      </c>
    </row>
    <row r="12" spans="2:16" x14ac:dyDescent="0.3">
      <c r="B12" s="6" t="s">
        <v>806</v>
      </c>
      <c r="C12" s="4">
        <v>0</v>
      </c>
      <c r="D12" s="4">
        <v>0</v>
      </c>
      <c r="E12" s="4">
        <v>4.8499999999999996</v>
      </c>
      <c r="F12" s="4">
        <v>5.6</v>
      </c>
      <c r="G12" s="4">
        <v>0</v>
      </c>
      <c r="H12" s="4">
        <v>0</v>
      </c>
      <c r="I12" s="4">
        <v>24.5</v>
      </c>
      <c r="J12" s="6" t="s">
        <v>807</v>
      </c>
      <c r="K12" s="4">
        <v>0</v>
      </c>
      <c r="L12" s="4">
        <v>0</v>
      </c>
      <c r="M12" s="4">
        <v>0</v>
      </c>
      <c r="N12" s="4">
        <v>0.17</v>
      </c>
      <c r="O12" s="4">
        <v>0</v>
      </c>
      <c r="P12" s="4">
        <v>0</v>
      </c>
    </row>
    <row r="13" spans="2:16" x14ac:dyDescent="0.3">
      <c r="B13" s="6" t="s">
        <v>808</v>
      </c>
      <c r="C13" s="4">
        <v>4.95</v>
      </c>
      <c r="D13" s="4">
        <v>0</v>
      </c>
      <c r="E13" s="4">
        <v>4.3499999999999996</v>
      </c>
      <c r="F13" s="4">
        <v>5.3</v>
      </c>
      <c r="G13" s="4">
        <v>1</v>
      </c>
      <c r="H13" s="4">
        <v>0</v>
      </c>
      <c r="I13" s="4">
        <v>25</v>
      </c>
      <c r="J13" s="6" t="s">
        <v>809</v>
      </c>
      <c r="K13" s="4">
        <v>0</v>
      </c>
      <c r="L13" s="4">
        <v>0</v>
      </c>
      <c r="M13" s="4">
        <v>0</v>
      </c>
      <c r="N13" s="4">
        <v>0.18</v>
      </c>
      <c r="O13" s="4">
        <v>0</v>
      </c>
      <c r="P13" s="4">
        <v>0</v>
      </c>
    </row>
    <row r="14" spans="2:16" x14ac:dyDescent="0.3">
      <c r="B14" s="6" t="s">
        <v>810</v>
      </c>
      <c r="C14" s="4">
        <v>0</v>
      </c>
      <c r="D14" s="4">
        <v>0</v>
      </c>
      <c r="E14" s="4">
        <v>4</v>
      </c>
      <c r="F14" s="4">
        <v>4.5999999999999996</v>
      </c>
      <c r="G14" s="4">
        <v>0</v>
      </c>
      <c r="H14" s="19">
        <v>0</v>
      </c>
      <c r="I14" s="4">
        <v>25.5</v>
      </c>
      <c r="J14" s="6" t="s">
        <v>811</v>
      </c>
      <c r="K14" s="4">
        <v>7.0000000000000007E-2</v>
      </c>
      <c r="L14" s="4">
        <v>0</v>
      </c>
      <c r="M14" s="4">
        <v>0</v>
      </c>
      <c r="N14" s="4">
        <v>0.14000000000000001</v>
      </c>
      <c r="O14" s="4">
        <v>1</v>
      </c>
      <c r="P14" s="4">
        <v>1</v>
      </c>
    </row>
    <row r="15" spans="2:16" x14ac:dyDescent="0.3">
      <c r="B15" s="6" t="s">
        <v>812</v>
      </c>
      <c r="C15" s="4">
        <v>0</v>
      </c>
      <c r="D15" s="4">
        <v>0</v>
      </c>
      <c r="E15" s="4">
        <v>3.5</v>
      </c>
      <c r="F15" s="4">
        <v>4.1500000000000004</v>
      </c>
      <c r="G15" s="4">
        <v>0</v>
      </c>
      <c r="H15" s="4">
        <v>0</v>
      </c>
      <c r="I15" s="4">
        <v>26</v>
      </c>
      <c r="J15" s="6" t="s">
        <v>813</v>
      </c>
      <c r="K15" s="4">
        <v>0</v>
      </c>
      <c r="L15" s="4">
        <v>0</v>
      </c>
      <c r="M15" s="4">
        <v>0.03</v>
      </c>
      <c r="N15" s="4">
        <v>0.18</v>
      </c>
      <c r="O15" s="4">
        <v>0</v>
      </c>
      <c r="P15" s="4">
        <v>0</v>
      </c>
    </row>
    <row r="16" spans="2:16" x14ac:dyDescent="0.3">
      <c r="B16" s="6" t="s">
        <v>814</v>
      </c>
      <c r="C16" s="4">
        <v>0</v>
      </c>
      <c r="D16" s="4">
        <v>0</v>
      </c>
      <c r="E16" s="4">
        <v>3.05</v>
      </c>
      <c r="F16" s="4">
        <v>3.65</v>
      </c>
      <c r="G16" s="4">
        <v>0</v>
      </c>
      <c r="H16" s="4">
        <v>0</v>
      </c>
      <c r="I16" s="4">
        <v>26.5</v>
      </c>
      <c r="J16" s="6" t="s">
        <v>815</v>
      </c>
      <c r="K16" s="4">
        <v>0</v>
      </c>
      <c r="L16" s="4">
        <v>0</v>
      </c>
      <c r="M16" s="4">
        <v>0.05</v>
      </c>
      <c r="N16" s="4">
        <v>0.2</v>
      </c>
      <c r="O16" s="4">
        <v>0</v>
      </c>
      <c r="P16" s="4">
        <v>0</v>
      </c>
    </row>
    <row r="17" spans="2:16" x14ac:dyDescent="0.3">
      <c r="B17" s="6" t="s">
        <v>816</v>
      </c>
      <c r="C17" s="4">
        <v>0</v>
      </c>
      <c r="D17" s="4">
        <v>0</v>
      </c>
      <c r="E17" s="4">
        <v>2.59</v>
      </c>
      <c r="F17" s="4">
        <v>3.2</v>
      </c>
      <c r="G17" s="4">
        <v>0</v>
      </c>
      <c r="H17" s="4">
        <v>0</v>
      </c>
      <c r="I17" s="4">
        <v>27</v>
      </c>
      <c r="J17" s="6" t="s">
        <v>817</v>
      </c>
      <c r="K17" s="4">
        <v>0.14000000000000001</v>
      </c>
      <c r="L17" s="4">
        <v>0</v>
      </c>
      <c r="M17" s="4">
        <v>0</v>
      </c>
      <c r="N17" s="4">
        <v>0.15</v>
      </c>
      <c r="O17" s="4">
        <v>1</v>
      </c>
      <c r="P17" s="4">
        <v>1</v>
      </c>
    </row>
    <row r="18" spans="2:16" x14ac:dyDescent="0.3">
      <c r="B18" s="6" t="s">
        <v>818</v>
      </c>
      <c r="C18" s="4">
        <v>0</v>
      </c>
      <c r="D18" s="4">
        <v>0</v>
      </c>
      <c r="E18" s="4">
        <v>2.16</v>
      </c>
      <c r="F18" s="4">
        <v>2.7</v>
      </c>
      <c r="G18" s="4">
        <v>0</v>
      </c>
      <c r="H18" s="4">
        <v>0</v>
      </c>
      <c r="I18" s="4">
        <v>27.5</v>
      </c>
      <c r="J18" s="6" t="s">
        <v>819</v>
      </c>
      <c r="K18" s="4">
        <v>0.03</v>
      </c>
      <c r="L18" s="4">
        <v>0</v>
      </c>
      <c r="M18" s="4">
        <v>0</v>
      </c>
      <c r="N18" s="4">
        <v>0.08</v>
      </c>
      <c r="O18" s="4">
        <v>37</v>
      </c>
      <c r="P18" s="4">
        <v>95</v>
      </c>
    </row>
    <row r="19" spans="2:16" x14ac:dyDescent="0.3">
      <c r="B19" s="6" t="s">
        <v>820</v>
      </c>
      <c r="C19" s="4">
        <v>4.8</v>
      </c>
      <c r="D19" s="4">
        <v>0.1</v>
      </c>
      <c r="E19" s="4">
        <v>4.2</v>
      </c>
      <c r="F19" s="4">
        <v>4.5999999999999996</v>
      </c>
      <c r="G19" s="4">
        <v>10</v>
      </c>
      <c r="H19" s="19">
        <v>10</v>
      </c>
      <c r="I19" s="4">
        <v>28</v>
      </c>
      <c r="J19" s="6" t="s">
        <v>821</v>
      </c>
      <c r="K19" s="4">
        <v>0.01</v>
      </c>
      <c r="L19" s="4">
        <v>-0.02</v>
      </c>
      <c r="M19" s="4">
        <v>0</v>
      </c>
      <c r="N19" s="4">
        <v>0.02</v>
      </c>
      <c r="O19" s="4">
        <v>1</v>
      </c>
      <c r="P19" s="4">
        <v>96</v>
      </c>
    </row>
    <row r="20" spans="2:16" x14ac:dyDescent="0.3">
      <c r="B20" s="6" t="s">
        <v>822</v>
      </c>
      <c r="C20" s="4">
        <v>4.2</v>
      </c>
      <c r="D20" s="4">
        <v>0</v>
      </c>
      <c r="E20" s="4">
        <v>3.7</v>
      </c>
      <c r="F20" s="4">
        <v>4.1500000000000004</v>
      </c>
      <c r="G20" s="4">
        <v>10</v>
      </c>
      <c r="H20" s="4">
        <v>47</v>
      </c>
      <c r="I20" s="4">
        <v>28.5</v>
      </c>
      <c r="J20" s="6" t="s">
        <v>823</v>
      </c>
      <c r="K20" s="4">
        <v>0.02</v>
      </c>
      <c r="L20" s="4">
        <v>-0.04</v>
      </c>
      <c r="M20" s="4">
        <v>0</v>
      </c>
      <c r="N20" s="4">
        <v>0.06</v>
      </c>
      <c r="O20" s="4">
        <v>10</v>
      </c>
      <c r="P20" s="4">
        <v>164</v>
      </c>
    </row>
    <row r="21" spans="2:16" x14ac:dyDescent="0.3">
      <c r="B21" s="6" t="s">
        <v>824</v>
      </c>
      <c r="C21" s="4">
        <v>3.65</v>
      </c>
      <c r="D21" s="4">
        <v>0</v>
      </c>
      <c r="E21" s="4">
        <v>3.25</v>
      </c>
      <c r="F21" s="4">
        <v>3.55</v>
      </c>
      <c r="G21" s="4">
        <v>31</v>
      </c>
      <c r="H21" s="4">
        <v>78</v>
      </c>
      <c r="I21" s="4">
        <v>29</v>
      </c>
      <c r="J21" s="6" t="s">
        <v>825</v>
      </c>
      <c r="K21" s="4">
        <v>0.02</v>
      </c>
      <c r="L21" s="4">
        <v>0</v>
      </c>
      <c r="M21" s="4">
        <v>0</v>
      </c>
      <c r="N21" s="4">
        <v>0.02</v>
      </c>
      <c r="O21" s="4">
        <v>21</v>
      </c>
      <c r="P21" s="4">
        <v>789</v>
      </c>
    </row>
    <row r="22" spans="2:16" x14ac:dyDescent="0.3">
      <c r="B22" s="6" t="s">
        <v>826</v>
      </c>
      <c r="C22" s="4">
        <v>3.19</v>
      </c>
      <c r="D22" s="4">
        <v>0</v>
      </c>
      <c r="E22" s="4">
        <v>2.75</v>
      </c>
      <c r="F22" s="4">
        <v>3.05</v>
      </c>
      <c r="G22" s="4">
        <v>3</v>
      </c>
      <c r="H22" s="4">
        <v>71</v>
      </c>
      <c r="I22" s="4">
        <v>29.5</v>
      </c>
      <c r="J22" s="6" t="s">
        <v>827</v>
      </c>
      <c r="K22" s="4">
        <v>0.03</v>
      </c>
      <c r="L22" s="4">
        <v>-7.0000000000000007E-2</v>
      </c>
      <c r="M22" s="4">
        <v>0.01</v>
      </c>
      <c r="N22" s="4">
        <v>0.04</v>
      </c>
      <c r="O22" s="4">
        <v>24</v>
      </c>
      <c r="P22" s="4">
        <v>99</v>
      </c>
    </row>
    <row r="23" spans="2:16" x14ac:dyDescent="0.3">
      <c r="B23" s="6" t="s">
        <v>828</v>
      </c>
      <c r="C23" s="4">
        <v>2.69</v>
      </c>
      <c r="D23" s="4">
        <v>0.44</v>
      </c>
      <c r="E23" s="4">
        <v>2.2799999999999998</v>
      </c>
      <c r="F23" s="4">
        <v>2.5499999999999998</v>
      </c>
      <c r="G23" s="4">
        <v>1</v>
      </c>
      <c r="H23" s="19">
        <v>615</v>
      </c>
      <c r="I23" s="4">
        <v>30</v>
      </c>
      <c r="J23" s="6" t="s">
        <v>829</v>
      </c>
      <c r="K23" s="4">
        <v>0.02</v>
      </c>
      <c r="L23" s="4">
        <v>0</v>
      </c>
      <c r="M23" s="4">
        <v>0</v>
      </c>
      <c r="N23" s="4">
        <v>0.02</v>
      </c>
      <c r="O23" s="4">
        <v>1</v>
      </c>
      <c r="P23" s="4">
        <v>285</v>
      </c>
    </row>
    <row r="24" spans="2:16" x14ac:dyDescent="0.3">
      <c r="B24" s="6" t="s">
        <v>830</v>
      </c>
      <c r="C24" s="4">
        <v>2.2799999999999998</v>
      </c>
      <c r="D24" s="4">
        <v>0.28000000000000003</v>
      </c>
      <c r="E24" s="4">
        <v>2.11</v>
      </c>
      <c r="F24" s="4">
        <v>2.3199999999999998</v>
      </c>
      <c r="G24" s="4">
        <v>4</v>
      </c>
      <c r="H24" s="19">
        <v>1211</v>
      </c>
      <c r="I24" s="4">
        <v>30.5</v>
      </c>
      <c r="J24" s="6" t="s">
        <v>831</v>
      </c>
      <c r="K24" s="4">
        <v>0.02</v>
      </c>
      <c r="L24" s="4">
        <v>-0.03</v>
      </c>
      <c r="M24" s="4">
        <v>0</v>
      </c>
      <c r="N24" s="4">
        <v>0.02</v>
      </c>
      <c r="O24" s="4">
        <v>5</v>
      </c>
      <c r="P24" s="4">
        <v>344</v>
      </c>
    </row>
    <row r="25" spans="2:16" x14ac:dyDescent="0.3">
      <c r="B25" s="6" t="s">
        <v>832</v>
      </c>
      <c r="C25" s="4">
        <v>1.71</v>
      </c>
      <c r="D25" s="4">
        <v>0.16</v>
      </c>
      <c r="E25" s="4">
        <v>1.59</v>
      </c>
      <c r="F25" s="4">
        <v>1.85</v>
      </c>
      <c r="G25" s="4">
        <v>52</v>
      </c>
      <c r="H25" s="4">
        <v>2274</v>
      </c>
      <c r="I25" s="4">
        <v>31</v>
      </c>
      <c r="J25" s="6" t="s">
        <v>833</v>
      </c>
      <c r="K25" s="4">
        <v>0.03</v>
      </c>
      <c r="L25" s="4">
        <v>-0.02</v>
      </c>
      <c r="M25" s="4">
        <v>0.01</v>
      </c>
      <c r="N25" s="4">
        <v>0.03</v>
      </c>
      <c r="O25" s="4">
        <v>5</v>
      </c>
      <c r="P25" s="4">
        <v>361</v>
      </c>
    </row>
    <row r="26" spans="2:16" x14ac:dyDescent="0.3">
      <c r="B26" s="6" t="s">
        <v>834</v>
      </c>
      <c r="C26" s="4">
        <v>0.9</v>
      </c>
      <c r="D26" s="4">
        <v>-0.33</v>
      </c>
      <c r="E26" s="4">
        <v>0.95</v>
      </c>
      <c r="F26" s="4">
        <v>1.08</v>
      </c>
      <c r="G26" s="4">
        <v>3</v>
      </c>
      <c r="H26" s="4">
        <v>316</v>
      </c>
      <c r="I26" s="4">
        <v>31.5</v>
      </c>
      <c r="J26" s="6" t="s">
        <v>835</v>
      </c>
      <c r="K26" s="4">
        <v>0.03</v>
      </c>
      <c r="L26" s="4">
        <v>-0.02</v>
      </c>
      <c r="M26" s="4">
        <v>0.01</v>
      </c>
      <c r="N26" s="4">
        <v>0.02</v>
      </c>
      <c r="O26" s="4">
        <v>11</v>
      </c>
      <c r="P26" s="4">
        <v>1301</v>
      </c>
    </row>
    <row r="27" spans="2:16" x14ac:dyDescent="0.3">
      <c r="B27" s="6" t="s">
        <v>836</v>
      </c>
      <c r="C27" s="4">
        <v>0.73</v>
      </c>
      <c r="D27" s="4">
        <v>0.2</v>
      </c>
      <c r="E27" s="4">
        <v>0.66</v>
      </c>
      <c r="F27" s="4">
        <v>0.72</v>
      </c>
      <c r="G27" s="4">
        <v>57</v>
      </c>
      <c r="H27" s="4">
        <v>768</v>
      </c>
      <c r="I27" s="4">
        <v>32</v>
      </c>
      <c r="J27" s="6" t="s">
        <v>837</v>
      </c>
      <c r="K27" s="4">
        <v>0.06</v>
      </c>
      <c r="L27" s="4">
        <v>-0.04</v>
      </c>
      <c r="M27" s="4">
        <v>0.05</v>
      </c>
      <c r="N27" s="4">
        <v>0.08</v>
      </c>
      <c r="O27" s="4">
        <v>131</v>
      </c>
      <c r="P27" s="4">
        <v>1614</v>
      </c>
    </row>
    <row r="28" spans="2:16" x14ac:dyDescent="0.3">
      <c r="B28" s="6" t="s">
        <v>838</v>
      </c>
      <c r="C28" s="4">
        <v>0.35</v>
      </c>
      <c r="D28" s="4">
        <v>0.08</v>
      </c>
      <c r="E28" s="4">
        <v>0.3</v>
      </c>
      <c r="F28" s="4">
        <v>0.34</v>
      </c>
      <c r="G28" s="4">
        <v>272</v>
      </c>
      <c r="H28" s="4">
        <v>1118</v>
      </c>
      <c r="I28" s="4">
        <v>32.5</v>
      </c>
      <c r="J28" s="6" t="s">
        <v>839</v>
      </c>
      <c r="K28" s="4">
        <v>0.19</v>
      </c>
      <c r="L28" s="4">
        <v>-0.1</v>
      </c>
      <c r="M28" s="4">
        <v>0.19</v>
      </c>
      <c r="N28" s="4">
        <v>0.21</v>
      </c>
      <c r="O28" s="4">
        <v>298</v>
      </c>
      <c r="P28" s="4">
        <v>614</v>
      </c>
    </row>
    <row r="29" spans="2:16" x14ac:dyDescent="0.3">
      <c r="B29" s="6" t="s">
        <v>840</v>
      </c>
      <c r="C29" s="4">
        <v>0.11</v>
      </c>
      <c r="D29" s="4">
        <v>0.03</v>
      </c>
      <c r="E29" s="4">
        <v>0.09</v>
      </c>
      <c r="F29" s="4">
        <v>0.12</v>
      </c>
      <c r="G29" s="4">
        <v>754</v>
      </c>
      <c r="H29" s="4">
        <v>2248</v>
      </c>
      <c r="I29" s="4">
        <v>33</v>
      </c>
      <c r="J29" s="6" t="s">
        <v>841</v>
      </c>
      <c r="K29" s="4">
        <v>0.44</v>
      </c>
      <c r="L29" s="4">
        <v>-0.21</v>
      </c>
      <c r="M29" s="4">
        <v>0.45</v>
      </c>
      <c r="N29" s="4">
        <v>0.5</v>
      </c>
      <c r="O29" s="4">
        <v>138</v>
      </c>
      <c r="P29" s="4">
        <v>95</v>
      </c>
    </row>
    <row r="30" spans="2:16" x14ac:dyDescent="0.3">
      <c r="B30" s="6" t="s">
        <v>842</v>
      </c>
      <c r="C30" s="4">
        <v>0.03</v>
      </c>
      <c r="D30" s="4">
        <v>0.01</v>
      </c>
      <c r="E30" s="4">
        <v>0.02</v>
      </c>
      <c r="F30" s="4">
        <v>0.03</v>
      </c>
      <c r="G30" s="4">
        <v>16</v>
      </c>
      <c r="H30" s="4">
        <v>620</v>
      </c>
      <c r="I30" s="4">
        <v>33.5</v>
      </c>
      <c r="J30" s="6" t="s">
        <v>843</v>
      </c>
      <c r="K30" s="4">
        <v>1</v>
      </c>
      <c r="L30" s="4">
        <v>0.16</v>
      </c>
      <c r="M30" s="4">
        <v>0.79</v>
      </c>
      <c r="N30" s="4">
        <v>1.22</v>
      </c>
      <c r="O30" s="4">
        <v>200</v>
      </c>
      <c r="P30" s="4">
        <v>215</v>
      </c>
    </row>
    <row r="31" spans="2:16" x14ac:dyDescent="0.3">
      <c r="B31" s="6" t="s">
        <v>844</v>
      </c>
      <c r="C31" s="4">
        <v>0.01</v>
      </c>
      <c r="D31" s="4">
        <v>-0.04</v>
      </c>
      <c r="E31" s="4">
        <v>0</v>
      </c>
      <c r="F31" s="4">
        <v>0.01</v>
      </c>
      <c r="G31" s="4">
        <v>20</v>
      </c>
      <c r="H31" s="4">
        <v>814</v>
      </c>
      <c r="I31" s="4">
        <v>34</v>
      </c>
      <c r="J31" s="6" t="s">
        <v>845</v>
      </c>
      <c r="K31" s="4">
        <v>1.7</v>
      </c>
      <c r="L31" s="4">
        <v>0</v>
      </c>
      <c r="M31" s="4">
        <v>1.04</v>
      </c>
      <c r="N31" s="4">
        <v>1.81</v>
      </c>
      <c r="O31" s="4">
        <v>10</v>
      </c>
      <c r="P31" s="4">
        <v>10</v>
      </c>
    </row>
    <row r="32" spans="2:16" x14ac:dyDescent="0.3">
      <c r="B32" s="6" t="s">
        <v>846</v>
      </c>
      <c r="C32" s="4">
        <v>0.05</v>
      </c>
      <c r="D32" s="4">
        <v>0</v>
      </c>
      <c r="E32" s="4">
        <v>0.08</v>
      </c>
      <c r="F32" s="4">
        <v>0.11</v>
      </c>
      <c r="G32" s="4">
        <v>32</v>
      </c>
      <c r="H32" s="4">
        <v>14</v>
      </c>
      <c r="I32" s="4">
        <v>34.5</v>
      </c>
      <c r="J32" s="6" t="s">
        <v>847</v>
      </c>
      <c r="K32" s="4">
        <v>0</v>
      </c>
      <c r="L32" s="4">
        <v>0</v>
      </c>
      <c r="M32" s="4">
        <v>4.45</v>
      </c>
      <c r="N32" s="4">
        <v>5.2</v>
      </c>
      <c r="O32" s="4">
        <v>0</v>
      </c>
      <c r="P32" s="4">
        <v>0</v>
      </c>
    </row>
    <row r="33" spans="2:16" x14ac:dyDescent="0.3">
      <c r="B33" s="6" t="s">
        <v>848</v>
      </c>
      <c r="C33" s="4">
        <v>0.05</v>
      </c>
      <c r="D33" s="4">
        <v>0</v>
      </c>
      <c r="E33" s="4">
        <v>0.04</v>
      </c>
      <c r="F33" s="4">
        <v>7.0000000000000007E-2</v>
      </c>
      <c r="G33" s="4">
        <v>11</v>
      </c>
      <c r="H33" s="4">
        <v>0</v>
      </c>
      <c r="I33" s="4">
        <v>35</v>
      </c>
      <c r="J33" s="6" t="s">
        <v>849</v>
      </c>
      <c r="K33" s="4">
        <v>0</v>
      </c>
      <c r="L33" s="4">
        <v>0</v>
      </c>
      <c r="M33" s="4">
        <v>5.0999999999999996</v>
      </c>
      <c r="N33" s="4">
        <v>5.65</v>
      </c>
      <c r="O33" s="4">
        <v>0</v>
      </c>
      <c r="P33" s="4">
        <v>0</v>
      </c>
    </row>
    <row r="34" spans="2:16" x14ac:dyDescent="0.3">
      <c r="B34" s="6" t="s">
        <v>850</v>
      </c>
      <c r="C34" s="4">
        <v>0</v>
      </c>
      <c r="D34" s="4">
        <v>0</v>
      </c>
      <c r="E34" s="4">
        <v>0</v>
      </c>
      <c r="F34" s="4">
        <v>0.13</v>
      </c>
      <c r="G34" s="4">
        <v>0</v>
      </c>
      <c r="H34" s="4">
        <v>0</v>
      </c>
      <c r="I34" s="4">
        <v>35.5</v>
      </c>
      <c r="J34" s="6" t="s">
        <v>851</v>
      </c>
      <c r="K34" s="4">
        <v>0</v>
      </c>
      <c r="L34" s="4">
        <v>0</v>
      </c>
      <c r="M34" s="4">
        <v>5.6</v>
      </c>
      <c r="N34" s="4">
        <v>6.2</v>
      </c>
      <c r="O34" s="4">
        <v>0</v>
      </c>
      <c r="P34" s="4">
        <v>0</v>
      </c>
    </row>
    <row r="35" spans="2:16" x14ac:dyDescent="0.3">
      <c r="B35" s="6" t="s">
        <v>852</v>
      </c>
      <c r="C35" s="4">
        <v>0</v>
      </c>
      <c r="D35" s="4">
        <v>0</v>
      </c>
      <c r="E35" s="4">
        <v>0</v>
      </c>
      <c r="F35" s="4">
        <v>0.13</v>
      </c>
      <c r="G35" s="4">
        <v>0</v>
      </c>
      <c r="H35" s="4">
        <v>0</v>
      </c>
      <c r="I35" s="4">
        <v>36</v>
      </c>
      <c r="J35" s="6" t="s">
        <v>853</v>
      </c>
      <c r="K35" s="4">
        <v>0</v>
      </c>
      <c r="L35" s="4">
        <v>0</v>
      </c>
      <c r="M35" s="4">
        <v>6.1</v>
      </c>
      <c r="N35" s="4">
        <v>6.7</v>
      </c>
      <c r="O35" s="4">
        <v>0</v>
      </c>
      <c r="P35" s="4">
        <v>0</v>
      </c>
    </row>
    <row r="36" spans="2:16" x14ac:dyDescent="0.3">
      <c r="B36" s="6" t="s">
        <v>854</v>
      </c>
      <c r="C36" s="4">
        <v>0</v>
      </c>
      <c r="D36" s="4">
        <v>0</v>
      </c>
      <c r="E36" s="4">
        <v>0</v>
      </c>
      <c r="F36" s="4">
        <v>0.13</v>
      </c>
      <c r="G36" s="4">
        <v>0</v>
      </c>
      <c r="H36" s="4">
        <v>0</v>
      </c>
      <c r="I36" s="4">
        <v>36.5</v>
      </c>
      <c r="J36" s="6" t="s">
        <v>855</v>
      </c>
      <c r="K36" s="4">
        <v>0</v>
      </c>
      <c r="L36" s="4">
        <v>0</v>
      </c>
      <c r="M36" s="4">
        <v>6.6</v>
      </c>
      <c r="N36" s="4">
        <v>7.2</v>
      </c>
      <c r="O36" s="4">
        <v>0</v>
      </c>
      <c r="P36" s="4">
        <v>0</v>
      </c>
    </row>
    <row r="37" spans="2:16" x14ac:dyDescent="0.3">
      <c r="B37" s="6" t="s">
        <v>856</v>
      </c>
      <c r="C37" s="4">
        <v>0</v>
      </c>
      <c r="D37" s="4">
        <v>0</v>
      </c>
      <c r="E37" s="4">
        <v>0</v>
      </c>
      <c r="F37" s="4">
        <v>0.13</v>
      </c>
      <c r="G37" s="4">
        <v>0</v>
      </c>
      <c r="H37" s="4">
        <v>0</v>
      </c>
      <c r="I37" s="4">
        <v>37</v>
      </c>
      <c r="J37" s="6" t="s">
        <v>857</v>
      </c>
      <c r="K37" s="4">
        <v>0</v>
      </c>
      <c r="L37" s="4">
        <v>0</v>
      </c>
      <c r="M37" s="4">
        <v>6.95</v>
      </c>
      <c r="N37" s="4">
        <v>7.6</v>
      </c>
      <c r="O37" s="4">
        <v>0</v>
      </c>
      <c r="P37" s="4">
        <v>0</v>
      </c>
    </row>
    <row r="38" spans="2:16" x14ac:dyDescent="0.3">
      <c r="B38" s="6" t="s">
        <v>858</v>
      </c>
      <c r="C38" s="4">
        <v>0</v>
      </c>
      <c r="D38" s="4">
        <v>0</v>
      </c>
      <c r="E38" s="4">
        <v>0</v>
      </c>
      <c r="F38" s="4">
        <v>0.13</v>
      </c>
      <c r="G38" s="4">
        <v>0</v>
      </c>
      <c r="H38" s="4">
        <v>0</v>
      </c>
      <c r="I38" s="4">
        <v>37.5</v>
      </c>
      <c r="J38" s="6" t="s">
        <v>859</v>
      </c>
      <c r="K38" s="4">
        <v>0</v>
      </c>
      <c r="L38" s="4">
        <v>0</v>
      </c>
      <c r="M38" s="4">
        <v>7.6</v>
      </c>
      <c r="N38" s="4">
        <v>8.1999999999999993</v>
      </c>
      <c r="O38" s="4">
        <v>0</v>
      </c>
      <c r="P38" s="4">
        <v>0</v>
      </c>
    </row>
    <row r="39" spans="2:16" x14ac:dyDescent="0.3">
      <c r="B39" s="6" t="s">
        <v>860</v>
      </c>
      <c r="C39" s="4">
        <v>0</v>
      </c>
      <c r="D39" s="4">
        <v>0</v>
      </c>
      <c r="E39" s="4">
        <v>0</v>
      </c>
      <c r="F39" s="4">
        <v>0.13</v>
      </c>
      <c r="G39" s="4">
        <v>0</v>
      </c>
      <c r="H39" s="4">
        <v>0</v>
      </c>
      <c r="I39" s="4">
        <v>38</v>
      </c>
      <c r="J39" s="6" t="s">
        <v>861</v>
      </c>
      <c r="K39" s="4">
        <v>0</v>
      </c>
      <c r="L39" s="4">
        <v>0</v>
      </c>
      <c r="M39" s="4">
        <v>8.1</v>
      </c>
      <c r="N39" s="4">
        <v>8.6999999999999993</v>
      </c>
      <c r="O39" s="4">
        <v>0</v>
      </c>
      <c r="P39" s="4">
        <v>0</v>
      </c>
    </row>
    <row r="40" spans="2:16" x14ac:dyDescent="0.3">
      <c r="B40" s="6" t="s">
        <v>862</v>
      </c>
      <c r="C40" s="4">
        <v>0</v>
      </c>
      <c r="D40" s="4">
        <v>0</v>
      </c>
      <c r="E40" s="4">
        <v>0</v>
      </c>
      <c r="F40" s="4">
        <v>0.13</v>
      </c>
      <c r="G40" s="4">
        <v>0</v>
      </c>
      <c r="H40" s="4">
        <v>0</v>
      </c>
      <c r="I40" s="4">
        <v>38.5</v>
      </c>
      <c r="J40" s="6" t="s">
        <v>863</v>
      </c>
      <c r="K40" s="4">
        <v>0</v>
      </c>
      <c r="L40" s="4">
        <v>0</v>
      </c>
      <c r="M40" s="4">
        <v>8.6</v>
      </c>
      <c r="N40" s="4">
        <v>9.1999999999999993</v>
      </c>
      <c r="O40" s="4">
        <v>0</v>
      </c>
      <c r="P40" s="4">
        <v>0</v>
      </c>
    </row>
    <row r="41" spans="2:16" x14ac:dyDescent="0.3">
      <c r="B41" s="6" t="s">
        <v>864</v>
      </c>
      <c r="C41" s="4">
        <v>0</v>
      </c>
      <c r="D41" s="4">
        <v>0</v>
      </c>
      <c r="E41" s="4">
        <v>0</v>
      </c>
      <c r="F41" s="4">
        <v>0.13</v>
      </c>
      <c r="G41" s="4">
        <v>0</v>
      </c>
      <c r="H41" s="4">
        <v>0</v>
      </c>
      <c r="I41" s="4">
        <v>39</v>
      </c>
      <c r="J41" s="6" t="s">
        <v>865</v>
      </c>
      <c r="K41" s="4">
        <v>0</v>
      </c>
      <c r="L41" s="4">
        <v>0</v>
      </c>
      <c r="M41" s="4">
        <v>9.1</v>
      </c>
      <c r="N41" s="4">
        <v>9.6999999999999993</v>
      </c>
      <c r="O41" s="4">
        <v>0</v>
      </c>
      <c r="P41" s="4">
        <v>0</v>
      </c>
    </row>
    <row r="42" spans="2:16" x14ac:dyDescent="0.3">
      <c r="B42" s="6" t="s">
        <v>866</v>
      </c>
      <c r="C42" s="4">
        <v>0</v>
      </c>
      <c r="D42" s="4">
        <v>0</v>
      </c>
      <c r="E42" s="4">
        <v>0</v>
      </c>
      <c r="F42" s="4">
        <v>0.13</v>
      </c>
      <c r="G42" s="4">
        <v>0</v>
      </c>
      <c r="H42" s="4">
        <v>0</v>
      </c>
      <c r="I42" s="4">
        <v>39.5</v>
      </c>
      <c r="J42" s="6" t="s">
        <v>867</v>
      </c>
      <c r="K42" s="4">
        <v>0</v>
      </c>
      <c r="L42" s="4">
        <v>0</v>
      </c>
      <c r="M42" s="4">
        <v>9.6</v>
      </c>
      <c r="N42" s="4">
        <v>10.199999999999999</v>
      </c>
      <c r="O42" s="4">
        <v>0</v>
      </c>
      <c r="P42" s="4">
        <v>0</v>
      </c>
    </row>
    <row r="43" spans="2:16" x14ac:dyDescent="0.3">
      <c r="B43" s="6" t="s">
        <v>868</v>
      </c>
      <c r="C43" s="4">
        <v>0</v>
      </c>
      <c r="D43" s="4">
        <v>0</v>
      </c>
      <c r="E43" s="4">
        <v>0</v>
      </c>
      <c r="F43" s="4">
        <v>0.13</v>
      </c>
      <c r="G43" s="4">
        <v>0</v>
      </c>
      <c r="H43" s="4">
        <v>0</v>
      </c>
      <c r="I43" s="4">
        <v>40</v>
      </c>
      <c r="J43" s="6" t="s">
        <v>869</v>
      </c>
      <c r="K43" s="4">
        <v>10.35</v>
      </c>
      <c r="L43" s="4">
        <v>0</v>
      </c>
      <c r="M43" s="4">
        <v>7.9</v>
      </c>
      <c r="N43" s="4">
        <v>11.65</v>
      </c>
      <c r="O43" s="4">
        <v>0</v>
      </c>
      <c r="P43" s="4">
        <v>0</v>
      </c>
    </row>
    <row r="44" spans="2:16" x14ac:dyDescent="0.3">
      <c r="B44" s="6" t="s">
        <v>870</v>
      </c>
      <c r="C44" s="4">
        <v>0</v>
      </c>
      <c r="D44" s="4">
        <v>0</v>
      </c>
      <c r="E44" s="4">
        <v>8</v>
      </c>
      <c r="F44" s="4">
        <v>10.4</v>
      </c>
      <c r="G44" s="4">
        <v>0</v>
      </c>
      <c r="H44" s="4">
        <v>0</v>
      </c>
      <c r="I44" s="4">
        <v>20</v>
      </c>
      <c r="J44" s="6" t="s">
        <v>871</v>
      </c>
      <c r="K44" s="4">
        <v>0</v>
      </c>
      <c r="L44" s="4">
        <v>0</v>
      </c>
      <c r="M44" s="4">
        <v>0</v>
      </c>
      <c r="N44" s="4">
        <v>0.5</v>
      </c>
      <c r="O44" s="4">
        <v>0</v>
      </c>
      <c r="P44" s="4">
        <v>0</v>
      </c>
    </row>
    <row r="45" spans="2:16" x14ac:dyDescent="0.3">
      <c r="B45" s="6" t="s">
        <v>872</v>
      </c>
      <c r="C45" s="4">
        <v>0</v>
      </c>
      <c r="D45" s="4">
        <v>0</v>
      </c>
      <c r="E45" s="4">
        <v>7.1</v>
      </c>
      <c r="F45" s="4">
        <v>10.45</v>
      </c>
      <c r="G45" s="4">
        <v>0</v>
      </c>
      <c r="H45" s="4">
        <v>0</v>
      </c>
      <c r="I45" s="4">
        <v>21</v>
      </c>
      <c r="J45" s="6" t="s">
        <v>873</v>
      </c>
      <c r="K45" s="4">
        <v>0</v>
      </c>
      <c r="L45" s="4">
        <v>0</v>
      </c>
      <c r="M45" s="4">
        <v>0</v>
      </c>
      <c r="N45" s="4">
        <v>0.5</v>
      </c>
      <c r="O45" s="4">
        <v>0</v>
      </c>
      <c r="P45" s="4">
        <v>0</v>
      </c>
    </row>
    <row r="46" spans="2:16" x14ac:dyDescent="0.3">
      <c r="B46" s="6" t="s">
        <v>874</v>
      </c>
      <c r="C46" s="4">
        <v>0</v>
      </c>
      <c r="D46" s="4">
        <v>0</v>
      </c>
      <c r="E46" s="4">
        <v>6.45</v>
      </c>
      <c r="F46" s="4">
        <v>9.5</v>
      </c>
      <c r="G46" s="4">
        <v>0</v>
      </c>
      <c r="H46" s="4">
        <v>0</v>
      </c>
      <c r="I46" s="4">
        <v>22</v>
      </c>
      <c r="J46" s="6" t="s">
        <v>875</v>
      </c>
      <c r="K46" s="4">
        <v>0</v>
      </c>
      <c r="L46" s="4">
        <v>0</v>
      </c>
      <c r="M46" s="4">
        <v>0</v>
      </c>
      <c r="N46" s="4">
        <v>0.5</v>
      </c>
      <c r="O46" s="4">
        <v>0</v>
      </c>
      <c r="P46" s="4">
        <v>0</v>
      </c>
    </row>
    <row r="47" spans="2:16" x14ac:dyDescent="0.3">
      <c r="B47" s="6" t="s">
        <v>876</v>
      </c>
      <c r="C47" s="4">
        <v>0</v>
      </c>
      <c r="D47" s="4">
        <v>0</v>
      </c>
      <c r="E47" s="4">
        <v>6.8</v>
      </c>
      <c r="F47" s="4">
        <v>7.9</v>
      </c>
      <c r="G47" s="4">
        <v>0</v>
      </c>
      <c r="H47" s="4">
        <v>0</v>
      </c>
      <c r="I47" s="4">
        <v>22.5</v>
      </c>
      <c r="J47" s="6" t="s">
        <v>877</v>
      </c>
      <c r="K47" s="4">
        <v>0</v>
      </c>
      <c r="L47" s="4">
        <v>0</v>
      </c>
      <c r="M47" s="4">
        <v>0</v>
      </c>
      <c r="N47" s="4">
        <v>0.38</v>
      </c>
      <c r="O47" s="4">
        <v>0</v>
      </c>
      <c r="P47" s="4">
        <v>0</v>
      </c>
    </row>
    <row r="48" spans="2:16" x14ac:dyDescent="0.3">
      <c r="B48" s="6" t="s">
        <v>878</v>
      </c>
      <c r="C48" s="4">
        <v>0</v>
      </c>
      <c r="D48" s="4">
        <v>0</v>
      </c>
      <c r="E48" s="4">
        <v>6.3</v>
      </c>
      <c r="F48" s="4">
        <v>7.4</v>
      </c>
      <c r="G48" s="4">
        <v>0</v>
      </c>
      <c r="H48" s="4">
        <v>0</v>
      </c>
      <c r="I48" s="4">
        <v>23</v>
      </c>
      <c r="J48" s="6" t="s">
        <v>879</v>
      </c>
      <c r="K48" s="4">
        <v>0</v>
      </c>
      <c r="L48" s="4">
        <v>0</v>
      </c>
      <c r="M48" s="4">
        <v>0</v>
      </c>
      <c r="N48" s="4">
        <v>0.38</v>
      </c>
      <c r="O48" s="4">
        <v>0</v>
      </c>
      <c r="P48" s="4">
        <v>0</v>
      </c>
    </row>
    <row r="49" spans="2:16" x14ac:dyDescent="0.3">
      <c r="B49" s="6" t="s">
        <v>880</v>
      </c>
      <c r="C49" s="4">
        <v>0</v>
      </c>
      <c r="D49" s="4">
        <v>0</v>
      </c>
      <c r="E49" s="4">
        <v>5.85</v>
      </c>
      <c r="F49" s="4">
        <v>6.9</v>
      </c>
      <c r="G49" s="4">
        <v>0</v>
      </c>
      <c r="H49" s="4">
        <v>0</v>
      </c>
      <c r="I49" s="4">
        <v>23.5</v>
      </c>
      <c r="J49" s="6" t="s">
        <v>881</v>
      </c>
      <c r="K49" s="4">
        <v>0</v>
      </c>
      <c r="L49" s="4">
        <v>0</v>
      </c>
      <c r="M49" s="4">
        <v>0</v>
      </c>
      <c r="N49" s="4">
        <v>0.38</v>
      </c>
      <c r="O49" s="4">
        <v>0</v>
      </c>
      <c r="P49" s="4">
        <v>0</v>
      </c>
    </row>
    <row r="50" spans="2:16" x14ac:dyDescent="0.3">
      <c r="B50" s="6" t="s">
        <v>882</v>
      </c>
      <c r="C50" s="4">
        <v>0</v>
      </c>
      <c r="D50" s="4">
        <v>0</v>
      </c>
      <c r="E50" s="4">
        <v>5.3</v>
      </c>
      <c r="F50" s="4">
        <v>6.45</v>
      </c>
      <c r="G50" s="4">
        <v>0</v>
      </c>
      <c r="H50" s="4">
        <v>0</v>
      </c>
      <c r="I50" s="4">
        <v>24</v>
      </c>
      <c r="J50" s="6" t="s">
        <v>883</v>
      </c>
      <c r="K50" s="4">
        <v>0</v>
      </c>
      <c r="L50" s="4">
        <v>0</v>
      </c>
      <c r="M50" s="4">
        <v>0</v>
      </c>
      <c r="N50" s="4">
        <v>0.26</v>
      </c>
      <c r="O50" s="4">
        <v>0</v>
      </c>
      <c r="P50" s="4">
        <v>0</v>
      </c>
    </row>
    <row r="51" spans="2:16" x14ac:dyDescent="0.3">
      <c r="B51" s="6" t="s">
        <v>884</v>
      </c>
      <c r="C51" s="4">
        <v>0</v>
      </c>
      <c r="D51" s="4">
        <v>0</v>
      </c>
      <c r="E51" s="4">
        <v>4.9000000000000004</v>
      </c>
      <c r="F51" s="4">
        <v>5.85</v>
      </c>
      <c r="G51" s="4">
        <v>0</v>
      </c>
      <c r="H51" s="4">
        <v>0</v>
      </c>
      <c r="I51" s="4">
        <v>24.5</v>
      </c>
      <c r="J51" s="6" t="s">
        <v>885</v>
      </c>
      <c r="K51" s="4">
        <v>0</v>
      </c>
      <c r="L51" s="4">
        <v>0</v>
      </c>
      <c r="M51" s="4">
        <v>0</v>
      </c>
      <c r="N51" s="4">
        <v>0.38</v>
      </c>
      <c r="O51" s="4">
        <v>0</v>
      </c>
      <c r="P51" s="4">
        <v>0</v>
      </c>
    </row>
    <row r="52" spans="2:16" x14ac:dyDescent="0.3">
      <c r="B52" s="6" t="s">
        <v>886</v>
      </c>
      <c r="C52" s="4">
        <v>0</v>
      </c>
      <c r="D52" s="4">
        <v>0</v>
      </c>
      <c r="E52" s="4">
        <v>4.4000000000000004</v>
      </c>
      <c r="F52" s="4">
        <v>5.35</v>
      </c>
      <c r="G52" s="4">
        <v>0</v>
      </c>
      <c r="H52" s="4">
        <v>0</v>
      </c>
      <c r="I52" s="4">
        <v>25</v>
      </c>
      <c r="J52" s="6" t="s">
        <v>887</v>
      </c>
      <c r="K52" s="4">
        <v>0</v>
      </c>
      <c r="L52" s="4">
        <v>0</v>
      </c>
      <c r="M52" s="4">
        <v>0</v>
      </c>
      <c r="N52" s="4">
        <v>0.25</v>
      </c>
      <c r="O52" s="4">
        <v>0</v>
      </c>
      <c r="P52" s="4">
        <v>0</v>
      </c>
    </row>
    <row r="53" spans="2:16" x14ac:dyDescent="0.3">
      <c r="B53" s="6" t="s">
        <v>888</v>
      </c>
      <c r="C53" s="4">
        <v>0</v>
      </c>
      <c r="D53" s="4">
        <v>0</v>
      </c>
      <c r="E53" s="4">
        <v>3.95</v>
      </c>
      <c r="F53" s="4">
        <v>4.8499999999999996</v>
      </c>
      <c r="G53" s="4">
        <v>0</v>
      </c>
      <c r="H53" s="4">
        <v>0</v>
      </c>
      <c r="I53" s="4">
        <v>25.5</v>
      </c>
      <c r="J53" s="6" t="s">
        <v>889</v>
      </c>
      <c r="K53" s="4">
        <v>0</v>
      </c>
      <c r="L53" s="4">
        <v>0</v>
      </c>
      <c r="M53" s="4">
        <v>0</v>
      </c>
      <c r="N53" s="4">
        <v>0.38</v>
      </c>
      <c r="O53" s="4">
        <v>0</v>
      </c>
      <c r="P53" s="4">
        <v>0</v>
      </c>
    </row>
    <row r="54" spans="2:16" x14ac:dyDescent="0.3">
      <c r="B54" s="6" t="s">
        <v>890</v>
      </c>
      <c r="C54" s="4">
        <v>0</v>
      </c>
      <c r="D54" s="4">
        <v>0</v>
      </c>
      <c r="E54" s="4">
        <v>3.5</v>
      </c>
      <c r="F54" s="4">
        <v>4.4000000000000004</v>
      </c>
      <c r="G54" s="4">
        <v>0</v>
      </c>
      <c r="H54" s="4">
        <v>0</v>
      </c>
      <c r="I54" s="4">
        <v>26</v>
      </c>
      <c r="J54" s="6" t="s">
        <v>891</v>
      </c>
      <c r="K54" s="4">
        <v>0.14000000000000001</v>
      </c>
      <c r="L54" s="4">
        <v>0</v>
      </c>
      <c r="M54" s="4">
        <v>0</v>
      </c>
      <c r="N54" s="4">
        <v>0.18</v>
      </c>
      <c r="O54" s="4">
        <v>1</v>
      </c>
      <c r="P54" s="4">
        <v>1</v>
      </c>
    </row>
    <row r="55" spans="2:16" x14ac:dyDescent="0.3">
      <c r="B55" s="6" t="s">
        <v>892</v>
      </c>
      <c r="C55" s="4">
        <v>0</v>
      </c>
      <c r="D55" s="4">
        <v>0</v>
      </c>
      <c r="E55" s="4">
        <v>3.05</v>
      </c>
      <c r="F55" s="4">
        <v>3.9</v>
      </c>
      <c r="G55" s="4">
        <v>0</v>
      </c>
      <c r="H55" s="4">
        <v>0</v>
      </c>
      <c r="I55" s="4">
        <v>26.5</v>
      </c>
      <c r="J55" s="6" t="s">
        <v>893</v>
      </c>
      <c r="K55" s="4">
        <v>0</v>
      </c>
      <c r="L55" s="4">
        <v>0</v>
      </c>
      <c r="M55" s="4">
        <v>0</v>
      </c>
      <c r="N55" s="4">
        <v>0.38</v>
      </c>
      <c r="O55" s="4">
        <v>0</v>
      </c>
      <c r="P55" s="4">
        <v>0</v>
      </c>
    </row>
    <row r="56" spans="2:16" x14ac:dyDescent="0.3">
      <c r="B56" s="6" t="s">
        <v>894</v>
      </c>
      <c r="C56" s="4">
        <v>0</v>
      </c>
      <c r="D56" s="4">
        <v>0</v>
      </c>
      <c r="E56" s="4">
        <v>2.58</v>
      </c>
      <c r="F56" s="4">
        <v>3.4</v>
      </c>
      <c r="G56" s="4">
        <v>0</v>
      </c>
      <c r="H56" s="4">
        <v>0</v>
      </c>
      <c r="I56" s="4">
        <v>27</v>
      </c>
      <c r="J56" s="6" t="s">
        <v>895</v>
      </c>
      <c r="K56" s="4">
        <v>0.1</v>
      </c>
      <c r="L56" s="4">
        <v>-0.09</v>
      </c>
      <c r="M56" s="4">
        <v>0.03</v>
      </c>
      <c r="N56" s="4">
        <v>0.17</v>
      </c>
      <c r="O56" s="4">
        <v>5</v>
      </c>
      <c r="P56" s="4">
        <v>15</v>
      </c>
    </row>
    <row r="57" spans="2:16" x14ac:dyDescent="0.3">
      <c r="B57" s="6" t="s">
        <v>896</v>
      </c>
      <c r="C57" s="4">
        <v>0</v>
      </c>
      <c r="D57" s="4">
        <v>0</v>
      </c>
      <c r="E57" s="4">
        <v>1.48</v>
      </c>
      <c r="F57" s="4">
        <v>2.97</v>
      </c>
      <c r="G57" s="4">
        <v>0</v>
      </c>
      <c r="H57" s="4">
        <v>0</v>
      </c>
      <c r="I57" s="4">
        <v>27.5</v>
      </c>
      <c r="J57" s="6" t="s">
        <v>897</v>
      </c>
      <c r="K57" s="4">
        <v>0</v>
      </c>
      <c r="L57" s="4">
        <v>0</v>
      </c>
      <c r="M57" s="4">
        <v>0.16</v>
      </c>
      <c r="N57" s="4">
        <v>0.3</v>
      </c>
      <c r="O57" s="4">
        <v>0</v>
      </c>
      <c r="P57" s="4">
        <v>0</v>
      </c>
    </row>
    <row r="58" spans="2:16" x14ac:dyDescent="0.3">
      <c r="B58" s="6" t="s">
        <v>898</v>
      </c>
      <c r="C58" s="4">
        <v>0</v>
      </c>
      <c r="D58" s="4">
        <v>0</v>
      </c>
      <c r="E58" s="4">
        <v>1.64</v>
      </c>
      <c r="F58" s="4">
        <v>2.41</v>
      </c>
      <c r="G58" s="4">
        <v>0</v>
      </c>
      <c r="H58" s="4">
        <v>0</v>
      </c>
      <c r="I58" s="4">
        <v>28</v>
      </c>
      <c r="J58" s="6" t="s">
        <v>899</v>
      </c>
      <c r="K58" s="4">
        <v>0.03</v>
      </c>
      <c r="L58" s="4">
        <v>0.02</v>
      </c>
      <c r="M58" s="4">
        <v>0</v>
      </c>
      <c r="N58" s="4">
        <v>0.05</v>
      </c>
      <c r="O58" s="4">
        <v>20</v>
      </c>
      <c r="P58" s="4">
        <v>204</v>
      </c>
    </row>
    <row r="59" spans="2:16" x14ac:dyDescent="0.3">
      <c r="B59" s="6" t="s">
        <v>900</v>
      </c>
      <c r="C59" s="4">
        <v>2.4700000000000002</v>
      </c>
      <c r="D59" s="4">
        <v>0</v>
      </c>
      <c r="E59" s="4">
        <v>2.9</v>
      </c>
      <c r="F59" s="4">
        <v>4.8499999999999996</v>
      </c>
      <c r="G59" s="4">
        <v>4</v>
      </c>
      <c r="H59" s="4">
        <v>14</v>
      </c>
      <c r="I59" s="4">
        <v>28.5</v>
      </c>
      <c r="J59" s="6" t="s">
        <v>901</v>
      </c>
      <c r="K59" s="4">
        <v>0.03</v>
      </c>
      <c r="L59" s="4">
        <v>-0.05</v>
      </c>
      <c r="M59" s="4">
        <v>0</v>
      </c>
      <c r="N59" s="4">
        <v>7.0000000000000007E-2</v>
      </c>
      <c r="O59" s="4">
        <v>4</v>
      </c>
      <c r="P59" s="4">
        <v>346</v>
      </c>
    </row>
    <row r="60" spans="2:16" x14ac:dyDescent="0.3">
      <c r="B60" s="6" t="s">
        <v>902</v>
      </c>
      <c r="C60" s="4">
        <v>3.04</v>
      </c>
      <c r="D60" s="4">
        <v>0</v>
      </c>
      <c r="E60" s="4">
        <v>3.25</v>
      </c>
      <c r="F60" s="4">
        <v>3.65</v>
      </c>
      <c r="G60" s="4">
        <v>6</v>
      </c>
      <c r="H60" s="4">
        <v>41</v>
      </c>
      <c r="I60" s="4">
        <v>29</v>
      </c>
      <c r="J60" s="6" t="s">
        <v>903</v>
      </c>
      <c r="K60" s="4">
        <v>0.04</v>
      </c>
      <c r="L60" s="4">
        <v>0.02</v>
      </c>
      <c r="M60" s="4">
        <v>0.01</v>
      </c>
      <c r="N60" s="4">
        <v>0.08</v>
      </c>
      <c r="O60" s="4">
        <v>3</v>
      </c>
      <c r="P60" s="4">
        <v>829</v>
      </c>
    </row>
    <row r="61" spans="2:16" x14ac:dyDescent="0.3">
      <c r="B61" s="6" t="s">
        <v>904</v>
      </c>
      <c r="C61" s="4">
        <v>1.54</v>
      </c>
      <c r="D61" s="4">
        <v>0</v>
      </c>
      <c r="E61" s="4">
        <v>2.57</v>
      </c>
      <c r="F61" s="4">
        <v>3.8</v>
      </c>
      <c r="G61" s="4">
        <v>2</v>
      </c>
      <c r="H61" s="4">
        <v>80</v>
      </c>
      <c r="I61" s="4">
        <v>29.5</v>
      </c>
      <c r="J61" s="6" t="s">
        <v>905</v>
      </c>
      <c r="K61" s="4">
        <v>0.03</v>
      </c>
      <c r="L61" s="4">
        <v>-0.02</v>
      </c>
      <c r="M61" s="4">
        <v>0</v>
      </c>
      <c r="N61" s="4">
        <v>0.03</v>
      </c>
      <c r="O61" s="4">
        <v>20</v>
      </c>
      <c r="P61" s="4">
        <v>444</v>
      </c>
    </row>
    <row r="62" spans="2:16" x14ac:dyDescent="0.3">
      <c r="B62" s="6" t="s">
        <v>906</v>
      </c>
      <c r="C62" s="4">
        <v>2.35</v>
      </c>
      <c r="D62" s="4">
        <v>-0.44</v>
      </c>
      <c r="E62" s="4">
        <v>2.6</v>
      </c>
      <c r="F62" s="4">
        <v>2.89</v>
      </c>
      <c r="G62" s="4">
        <v>1</v>
      </c>
      <c r="H62" s="4">
        <v>542</v>
      </c>
      <c r="I62" s="4">
        <v>30</v>
      </c>
      <c r="J62" s="6" t="s">
        <v>907</v>
      </c>
      <c r="K62" s="4">
        <v>0.06</v>
      </c>
      <c r="L62" s="4">
        <v>0</v>
      </c>
      <c r="M62" s="4">
        <v>0.01</v>
      </c>
      <c r="N62" s="4">
        <v>0.06</v>
      </c>
      <c r="O62" s="4">
        <v>75</v>
      </c>
      <c r="P62" s="4">
        <v>464</v>
      </c>
    </row>
    <row r="63" spans="2:16" x14ac:dyDescent="0.3">
      <c r="B63" s="6" t="s">
        <v>908</v>
      </c>
      <c r="C63" s="4">
        <v>1.94</v>
      </c>
      <c r="D63" s="4">
        <v>-0.33</v>
      </c>
      <c r="E63" s="4">
        <v>1.8</v>
      </c>
      <c r="F63" s="4">
        <v>2.12</v>
      </c>
      <c r="G63" s="4">
        <v>1</v>
      </c>
      <c r="H63" s="4">
        <v>1017</v>
      </c>
      <c r="I63" s="4">
        <v>30.5</v>
      </c>
      <c r="J63" s="6" t="s">
        <v>909</v>
      </c>
      <c r="K63" s="4">
        <v>0.04</v>
      </c>
      <c r="L63" s="4">
        <v>0</v>
      </c>
      <c r="M63" s="4">
        <v>0.01</v>
      </c>
      <c r="N63" s="4">
        <v>7.0000000000000007E-2</v>
      </c>
      <c r="O63" s="4">
        <v>200</v>
      </c>
      <c r="P63" s="4">
        <v>347</v>
      </c>
    </row>
    <row r="64" spans="2:16" x14ac:dyDescent="0.3">
      <c r="B64" s="6" t="s">
        <v>910</v>
      </c>
      <c r="C64" s="4">
        <v>1.78</v>
      </c>
      <c r="D64" s="4">
        <v>0.27</v>
      </c>
      <c r="E64" s="4">
        <v>1.41</v>
      </c>
      <c r="F64" s="4">
        <v>1.62</v>
      </c>
      <c r="G64" s="4">
        <v>55</v>
      </c>
      <c r="H64" s="4">
        <v>1963</v>
      </c>
      <c r="I64" s="4">
        <v>31</v>
      </c>
      <c r="J64" s="6" t="s">
        <v>911</v>
      </c>
      <c r="K64" s="4">
        <v>0.04</v>
      </c>
      <c r="L64" s="4">
        <v>-0.01</v>
      </c>
      <c r="M64" s="4">
        <v>0.03</v>
      </c>
      <c r="N64" s="4">
        <v>0.05</v>
      </c>
      <c r="O64" s="4">
        <v>71</v>
      </c>
      <c r="P64" s="4">
        <v>524</v>
      </c>
    </row>
    <row r="65" spans="2:16" x14ac:dyDescent="0.3">
      <c r="B65" s="6" t="s">
        <v>912</v>
      </c>
      <c r="C65" s="4">
        <v>1.19</v>
      </c>
      <c r="D65" s="4">
        <v>0</v>
      </c>
      <c r="E65" s="4">
        <v>0.9</v>
      </c>
      <c r="F65" s="4">
        <v>1.18</v>
      </c>
      <c r="G65" s="4">
        <v>65</v>
      </c>
      <c r="H65" s="4">
        <v>846</v>
      </c>
      <c r="I65" s="4">
        <v>31.5</v>
      </c>
      <c r="J65" s="6" t="s">
        <v>913</v>
      </c>
      <c r="K65" s="4">
        <v>7.0000000000000007E-2</v>
      </c>
      <c r="L65" s="4">
        <v>-0.05</v>
      </c>
      <c r="M65" s="4">
        <v>7.0000000000000007E-2</v>
      </c>
      <c r="N65" s="4">
        <v>0.09</v>
      </c>
      <c r="O65" s="4">
        <v>142</v>
      </c>
      <c r="P65" s="4">
        <v>1491</v>
      </c>
    </row>
    <row r="66" spans="2:16" x14ac:dyDescent="0.3">
      <c r="B66" s="6" t="s">
        <v>914</v>
      </c>
      <c r="C66" s="4">
        <v>0.8</v>
      </c>
      <c r="D66" s="4">
        <v>0.18</v>
      </c>
      <c r="E66" s="4">
        <v>0.76</v>
      </c>
      <c r="F66" s="4">
        <v>0.83</v>
      </c>
      <c r="G66" s="4">
        <v>14</v>
      </c>
      <c r="H66" s="4">
        <v>1657</v>
      </c>
      <c r="I66" s="4">
        <v>32</v>
      </c>
      <c r="J66" s="6" t="s">
        <v>915</v>
      </c>
      <c r="K66" s="4">
        <v>0.15</v>
      </c>
      <c r="L66" s="4">
        <v>-7.0000000000000007E-2</v>
      </c>
      <c r="M66" s="4">
        <v>0.15</v>
      </c>
      <c r="N66" s="4">
        <v>0.16</v>
      </c>
      <c r="O66" s="4">
        <v>137</v>
      </c>
      <c r="P66" s="4">
        <v>1430</v>
      </c>
    </row>
    <row r="67" spans="2:16" x14ac:dyDescent="0.3">
      <c r="B67" s="6" t="s">
        <v>916</v>
      </c>
      <c r="C67" s="4">
        <v>0.49</v>
      </c>
      <c r="D67" s="4">
        <v>0.14000000000000001</v>
      </c>
      <c r="E67" s="4">
        <v>0.43</v>
      </c>
      <c r="F67" s="4">
        <v>0.47</v>
      </c>
      <c r="G67" s="4">
        <v>210</v>
      </c>
      <c r="H67" s="4">
        <v>318</v>
      </c>
      <c r="I67" s="4">
        <v>32.5</v>
      </c>
      <c r="J67" s="6" t="s">
        <v>917</v>
      </c>
      <c r="K67" s="4">
        <v>0.3</v>
      </c>
      <c r="L67" s="4">
        <v>-0.13</v>
      </c>
      <c r="M67" s="4">
        <v>0.31</v>
      </c>
      <c r="N67" s="4">
        <v>0.34</v>
      </c>
      <c r="O67" s="4">
        <v>274</v>
      </c>
      <c r="P67" s="4">
        <v>495</v>
      </c>
    </row>
    <row r="68" spans="2:16" x14ac:dyDescent="0.3">
      <c r="B68" s="6" t="s">
        <v>918</v>
      </c>
      <c r="C68" s="4">
        <v>0.22</v>
      </c>
      <c r="D68" s="4">
        <v>0.04</v>
      </c>
      <c r="E68" s="4">
        <v>0.2</v>
      </c>
      <c r="F68" s="4">
        <v>0.22</v>
      </c>
      <c r="G68" s="4">
        <v>540</v>
      </c>
      <c r="H68" s="4">
        <v>1670</v>
      </c>
      <c r="I68" s="4">
        <v>33</v>
      </c>
      <c r="J68" s="6" t="s">
        <v>919</v>
      </c>
      <c r="K68" s="4">
        <v>0.56000000000000005</v>
      </c>
      <c r="L68" s="4">
        <v>-0.1</v>
      </c>
      <c r="M68" s="4">
        <v>0.56000000000000005</v>
      </c>
      <c r="N68" s="4">
        <v>0.61</v>
      </c>
      <c r="O68" s="4">
        <v>100</v>
      </c>
      <c r="P68" s="4">
        <v>535</v>
      </c>
    </row>
    <row r="69" spans="2:16" x14ac:dyDescent="0.3">
      <c r="B69" s="6" t="s">
        <v>920</v>
      </c>
      <c r="C69" s="4">
        <v>0.09</v>
      </c>
      <c r="D69" s="4">
        <v>-0.01</v>
      </c>
      <c r="E69" s="4">
        <v>7.0000000000000007E-2</v>
      </c>
      <c r="F69" s="4">
        <v>0.1</v>
      </c>
      <c r="G69" s="4">
        <v>130</v>
      </c>
      <c r="H69" s="4">
        <v>195</v>
      </c>
      <c r="I69" s="4">
        <v>33.5</v>
      </c>
      <c r="J69" s="6" t="s">
        <v>921</v>
      </c>
      <c r="K69" s="4">
        <v>1.29</v>
      </c>
      <c r="L69" s="4">
        <v>0</v>
      </c>
      <c r="M69" s="4">
        <v>1.0900000000000001</v>
      </c>
      <c r="N69" s="4">
        <v>1.27</v>
      </c>
      <c r="O69" s="4">
        <v>40</v>
      </c>
      <c r="P69" s="4">
        <v>0</v>
      </c>
    </row>
    <row r="70" spans="2:16" x14ac:dyDescent="0.3">
      <c r="B70" s="6" t="s">
        <v>922</v>
      </c>
      <c r="C70" s="4">
        <v>0.03</v>
      </c>
      <c r="D70" s="4">
        <v>-0.01</v>
      </c>
      <c r="E70" s="4">
        <v>0.02</v>
      </c>
      <c r="F70" s="4">
        <v>0.05</v>
      </c>
      <c r="G70" s="4">
        <v>2</v>
      </c>
      <c r="H70" s="4">
        <v>485</v>
      </c>
      <c r="I70" s="4">
        <v>34</v>
      </c>
      <c r="J70" s="6" t="s">
        <v>923</v>
      </c>
      <c r="K70" s="4">
        <v>0</v>
      </c>
      <c r="L70" s="4">
        <v>0</v>
      </c>
      <c r="M70" s="4">
        <v>3.75</v>
      </c>
      <c r="N70" s="4">
        <v>4.7</v>
      </c>
      <c r="O70" s="4">
        <v>0</v>
      </c>
      <c r="P70" s="4">
        <v>0</v>
      </c>
    </row>
    <row r="71" spans="2:16" x14ac:dyDescent="0.3">
      <c r="B71" s="6" t="s">
        <v>924</v>
      </c>
      <c r="C71" s="4">
        <v>0.05</v>
      </c>
      <c r="D71" s="4">
        <v>-0.09</v>
      </c>
      <c r="E71" s="4">
        <v>0.01</v>
      </c>
      <c r="F71" s="4">
        <v>0.08</v>
      </c>
      <c r="G71" s="4">
        <v>54</v>
      </c>
      <c r="H71" s="4">
        <v>115</v>
      </c>
      <c r="I71" s="4">
        <v>34.5</v>
      </c>
      <c r="J71" s="6" t="s">
        <v>925</v>
      </c>
      <c r="K71" s="4">
        <v>2.0499999999999998</v>
      </c>
      <c r="L71" s="4">
        <v>0</v>
      </c>
      <c r="M71" s="4">
        <v>1.94</v>
      </c>
      <c r="N71" s="4">
        <v>2.2599999999999998</v>
      </c>
      <c r="O71" s="4">
        <v>1</v>
      </c>
      <c r="P71" s="4">
        <v>0</v>
      </c>
    </row>
    <row r="72" spans="2:16" x14ac:dyDescent="0.3">
      <c r="B72" s="6" t="s">
        <v>926</v>
      </c>
      <c r="C72" s="4">
        <v>0</v>
      </c>
      <c r="D72" s="4">
        <v>0</v>
      </c>
      <c r="E72" s="4">
        <v>0</v>
      </c>
      <c r="F72" s="4">
        <v>0.49</v>
      </c>
      <c r="G72" s="4">
        <v>0</v>
      </c>
      <c r="H72" s="4">
        <v>0</v>
      </c>
      <c r="I72" s="4">
        <v>35</v>
      </c>
      <c r="J72" s="6" t="s">
        <v>927</v>
      </c>
      <c r="K72" s="4">
        <v>0</v>
      </c>
      <c r="L72" s="4">
        <v>0</v>
      </c>
      <c r="M72" s="4">
        <v>4.5999999999999996</v>
      </c>
      <c r="N72" s="4">
        <v>6</v>
      </c>
      <c r="O72" s="4">
        <v>0</v>
      </c>
      <c r="P72" s="4">
        <v>0</v>
      </c>
    </row>
    <row r="73" spans="2:16" x14ac:dyDescent="0.3">
      <c r="B73" s="6" t="s">
        <v>928</v>
      </c>
      <c r="C73" s="4">
        <v>0</v>
      </c>
      <c r="D73" s="4">
        <v>0</v>
      </c>
      <c r="E73" s="4">
        <v>0</v>
      </c>
      <c r="F73" s="4">
        <v>0.5</v>
      </c>
      <c r="G73" s="4">
        <v>0</v>
      </c>
      <c r="H73" s="4">
        <v>0</v>
      </c>
      <c r="I73" s="4">
        <v>35.5</v>
      </c>
      <c r="J73" s="6" t="s">
        <v>929</v>
      </c>
      <c r="K73" s="4">
        <v>0</v>
      </c>
      <c r="L73" s="4">
        <v>0</v>
      </c>
      <c r="M73" s="4">
        <v>4.05</v>
      </c>
      <c r="N73" s="4">
        <v>7.15</v>
      </c>
      <c r="O73" s="4">
        <v>0</v>
      </c>
      <c r="P73" s="4">
        <v>0</v>
      </c>
    </row>
    <row r="74" spans="2:16" x14ac:dyDescent="0.3">
      <c r="B74" s="6" t="s">
        <v>930</v>
      </c>
      <c r="C74" s="4">
        <v>0</v>
      </c>
      <c r="D74" s="4">
        <v>0</v>
      </c>
      <c r="E74" s="4">
        <v>0</v>
      </c>
      <c r="F74" s="4">
        <v>0.1</v>
      </c>
      <c r="G74" s="4">
        <v>0</v>
      </c>
      <c r="H74" s="4">
        <v>0</v>
      </c>
      <c r="I74" s="4">
        <v>36</v>
      </c>
      <c r="J74" s="6" t="s">
        <v>931</v>
      </c>
      <c r="K74" s="4">
        <v>0</v>
      </c>
      <c r="L74" s="4">
        <v>0</v>
      </c>
      <c r="M74" s="4">
        <v>5.6</v>
      </c>
      <c r="N74" s="4">
        <v>7.65</v>
      </c>
      <c r="O74" s="4">
        <v>0</v>
      </c>
      <c r="P74" s="4">
        <v>0</v>
      </c>
    </row>
    <row r="75" spans="2:16" x14ac:dyDescent="0.3">
      <c r="B75" s="6" t="s">
        <v>932</v>
      </c>
      <c r="C75" s="4">
        <v>0</v>
      </c>
      <c r="D75" s="4">
        <v>0</v>
      </c>
      <c r="E75" s="4">
        <v>0</v>
      </c>
      <c r="F75" s="4">
        <v>0.5</v>
      </c>
      <c r="G75" s="4">
        <v>0</v>
      </c>
      <c r="H75" s="4">
        <v>0</v>
      </c>
      <c r="I75" s="4">
        <v>36.5</v>
      </c>
      <c r="J75" s="6" t="s">
        <v>933</v>
      </c>
      <c r="K75" s="4">
        <v>0</v>
      </c>
      <c r="L75" s="4">
        <v>0</v>
      </c>
      <c r="M75" s="4">
        <v>5.05</v>
      </c>
      <c r="N75" s="4">
        <v>8.15</v>
      </c>
      <c r="O75" s="4">
        <v>0</v>
      </c>
      <c r="P75" s="4">
        <v>0</v>
      </c>
    </row>
    <row r="76" spans="2:16" x14ac:dyDescent="0.3">
      <c r="B76" s="6" t="s">
        <v>934</v>
      </c>
      <c r="C76" s="4">
        <v>0</v>
      </c>
      <c r="D76" s="4">
        <v>0</v>
      </c>
      <c r="E76" s="4">
        <v>0</v>
      </c>
      <c r="F76" s="4">
        <v>0.24</v>
      </c>
      <c r="G76" s="4">
        <v>0</v>
      </c>
      <c r="H76" s="4">
        <v>0</v>
      </c>
      <c r="I76" s="4">
        <v>37</v>
      </c>
      <c r="J76" s="6" t="s">
        <v>935</v>
      </c>
      <c r="K76" s="4">
        <v>0</v>
      </c>
      <c r="L76" s="4">
        <v>0</v>
      </c>
      <c r="M76" s="4">
        <v>5.55</v>
      </c>
      <c r="N76" s="4">
        <v>8.65</v>
      </c>
      <c r="O76" s="4">
        <v>0</v>
      </c>
      <c r="P76" s="4">
        <v>0</v>
      </c>
    </row>
    <row r="77" spans="2:16" x14ac:dyDescent="0.3">
      <c r="B77" s="6" t="s">
        <v>936</v>
      </c>
      <c r="C77" s="4">
        <v>0</v>
      </c>
      <c r="D77" s="4">
        <v>0</v>
      </c>
      <c r="E77" s="4">
        <v>0</v>
      </c>
      <c r="F77" s="4">
        <v>0.5</v>
      </c>
      <c r="G77" s="4">
        <v>0</v>
      </c>
      <c r="H77" s="4">
        <v>0</v>
      </c>
      <c r="I77" s="4">
        <v>37.5</v>
      </c>
      <c r="J77" s="6" t="s">
        <v>937</v>
      </c>
      <c r="K77" s="4">
        <v>0</v>
      </c>
      <c r="L77" s="4">
        <v>0</v>
      </c>
      <c r="M77" s="4">
        <v>6.25</v>
      </c>
      <c r="N77" s="4">
        <v>9.4499999999999993</v>
      </c>
      <c r="O77" s="4">
        <v>0</v>
      </c>
      <c r="P77" s="4">
        <v>0</v>
      </c>
    </row>
    <row r="78" spans="2:16" x14ac:dyDescent="0.3">
      <c r="B78" s="6" t="s">
        <v>938</v>
      </c>
      <c r="C78" s="4">
        <v>0</v>
      </c>
      <c r="D78" s="4">
        <v>0</v>
      </c>
      <c r="E78" s="4">
        <v>0</v>
      </c>
      <c r="F78" s="4">
        <v>0.5</v>
      </c>
      <c r="G78" s="4">
        <v>0</v>
      </c>
      <c r="H78" s="4">
        <v>0</v>
      </c>
      <c r="I78" s="4">
        <v>38</v>
      </c>
      <c r="J78" s="6" t="s">
        <v>939</v>
      </c>
      <c r="K78" s="4">
        <v>0</v>
      </c>
      <c r="L78" s="4">
        <v>0</v>
      </c>
      <c r="M78" s="4">
        <v>6.5</v>
      </c>
      <c r="N78" s="4">
        <v>9.9499999999999993</v>
      </c>
      <c r="O78" s="4">
        <v>0</v>
      </c>
      <c r="P78" s="4">
        <v>0</v>
      </c>
    </row>
    <row r="79" spans="2:16" x14ac:dyDescent="0.3">
      <c r="B79" s="6" t="s">
        <v>940</v>
      </c>
      <c r="C79" s="4">
        <v>0</v>
      </c>
      <c r="D79" s="4">
        <v>0</v>
      </c>
      <c r="E79" s="4">
        <v>0</v>
      </c>
      <c r="F79" s="4">
        <v>0.5</v>
      </c>
      <c r="G79" s="4">
        <v>0</v>
      </c>
      <c r="H79" s="4">
        <v>0</v>
      </c>
      <c r="I79" s="4">
        <v>38.5</v>
      </c>
      <c r="J79" s="6" t="s">
        <v>941</v>
      </c>
      <c r="K79" s="4">
        <v>0</v>
      </c>
      <c r="L79" s="4">
        <v>0</v>
      </c>
      <c r="M79" s="4">
        <v>7</v>
      </c>
      <c r="N79" s="4">
        <v>10.45</v>
      </c>
      <c r="O79" s="4">
        <v>0</v>
      </c>
      <c r="P79" s="4">
        <v>0</v>
      </c>
    </row>
    <row r="80" spans="2:16" x14ac:dyDescent="0.3">
      <c r="B80" s="6" t="s">
        <v>942</v>
      </c>
      <c r="C80" s="4">
        <v>0.03</v>
      </c>
      <c r="D80" s="4">
        <v>0</v>
      </c>
      <c r="E80" s="4">
        <v>0</v>
      </c>
      <c r="F80" s="4">
        <v>0.31</v>
      </c>
      <c r="G80" s="4">
        <v>14</v>
      </c>
      <c r="H80" s="4">
        <v>14</v>
      </c>
      <c r="I80" s="4">
        <v>39</v>
      </c>
      <c r="J80" s="6" t="s">
        <v>943</v>
      </c>
      <c r="K80" s="4">
        <v>9.9</v>
      </c>
      <c r="L80" s="4">
        <v>0</v>
      </c>
      <c r="M80" s="4">
        <v>6.9</v>
      </c>
      <c r="N80" s="4">
        <v>10.7</v>
      </c>
      <c r="O80" s="4">
        <v>14</v>
      </c>
      <c r="P80" s="4">
        <v>7</v>
      </c>
    </row>
    <row r="81" spans="2:16" x14ac:dyDescent="0.3">
      <c r="B81" s="6" t="s">
        <v>944</v>
      </c>
      <c r="C81" s="4">
        <v>0</v>
      </c>
      <c r="D81" s="4">
        <v>0</v>
      </c>
      <c r="E81" s="4">
        <v>0</v>
      </c>
      <c r="F81" s="4">
        <v>0.5</v>
      </c>
      <c r="G81" s="4">
        <v>0</v>
      </c>
      <c r="H81" s="4">
        <v>0</v>
      </c>
      <c r="I81" s="4">
        <v>39.5</v>
      </c>
      <c r="J81" s="6" t="s">
        <v>945</v>
      </c>
      <c r="K81" s="4">
        <v>0</v>
      </c>
      <c r="L81" s="4">
        <v>0</v>
      </c>
      <c r="M81" s="4">
        <v>8</v>
      </c>
      <c r="N81" s="4">
        <v>11.45</v>
      </c>
      <c r="O81" s="4">
        <v>0</v>
      </c>
      <c r="P81" s="4">
        <v>0</v>
      </c>
    </row>
    <row r="82" spans="2:16" x14ac:dyDescent="0.3">
      <c r="B82" s="6" t="s">
        <v>946</v>
      </c>
      <c r="C82" s="4" t="s">
        <v>366</v>
      </c>
      <c r="D82" s="4" t="s">
        <v>366</v>
      </c>
      <c r="E82" s="4" t="s">
        <v>366</v>
      </c>
      <c r="F82" s="4" t="s">
        <v>366</v>
      </c>
      <c r="G82" s="4" t="s">
        <v>366</v>
      </c>
      <c r="H82" s="4" t="s">
        <v>366</v>
      </c>
      <c r="I82" s="4">
        <v>25</v>
      </c>
      <c r="J82" s="6" t="s">
        <v>947</v>
      </c>
      <c r="K82" s="4">
        <v>0.05</v>
      </c>
      <c r="L82" s="4">
        <v>0</v>
      </c>
      <c r="M82" s="4">
        <v>0</v>
      </c>
      <c r="N82" s="4">
        <v>0.06</v>
      </c>
      <c r="O82" s="4">
        <v>1</v>
      </c>
      <c r="P82" s="4">
        <v>1</v>
      </c>
    </row>
    <row r="83" spans="2:16" x14ac:dyDescent="0.3">
      <c r="B83" s="6" t="s">
        <v>948</v>
      </c>
      <c r="C83" s="4">
        <v>2.4</v>
      </c>
      <c r="D83" s="4">
        <v>0</v>
      </c>
      <c r="E83" s="4">
        <v>1.88</v>
      </c>
      <c r="F83" s="4">
        <v>2.38</v>
      </c>
      <c r="G83" s="4">
        <v>10</v>
      </c>
      <c r="H83" s="4">
        <v>48</v>
      </c>
      <c r="I83" s="4">
        <v>28</v>
      </c>
      <c r="J83" s="6" t="s">
        <v>949</v>
      </c>
      <c r="K83" s="4">
        <v>0.26</v>
      </c>
      <c r="L83" s="4">
        <v>0</v>
      </c>
      <c r="M83" s="4">
        <v>0.13</v>
      </c>
      <c r="N83" s="4">
        <v>0.22</v>
      </c>
      <c r="O83" s="4">
        <v>3</v>
      </c>
      <c r="P83" s="4">
        <v>3</v>
      </c>
    </row>
    <row r="84" spans="2:16" x14ac:dyDescent="0.3">
      <c r="B84" s="6" t="s">
        <v>950</v>
      </c>
      <c r="C84" s="4">
        <v>1.74</v>
      </c>
      <c r="D84" s="4">
        <v>0</v>
      </c>
      <c r="E84" s="4">
        <v>1.47</v>
      </c>
      <c r="F84" s="4">
        <v>2.0499999999999998</v>
      </c>
      <c r="G84" s="4">
        <v>36</v>
      </c>
      <c r="H84" s="4">
        <v>36</v>
      </c>
      <c r="I84" s="4">
        <v>28.5</v>
      </c>
      <c r="J84" s="6" t="s">
        <v>951</v>
      </c>
      <c r="K84" s="4">
        <v>0.03</v>
      </c>
      <c r="L84" s="4">
        <v>0</v>
      </c>
      <c r="M84" s="4">
        <v>0</v>
      </c>
      <c r="N84" s="4">
        <v>0.08</v>
      </c>
      <c r="O84" s="4">
        <v>2</v>
      </c>
      <c r="P84" s="4">
        <v>3</v>
      </c>
    </row>
    <row r="85" spans="2:16" x14ac:dyDescent="0.3">
      <c r="B85" s="6" t="s">
        <v>952</v>
      </c>
      <c r="C85" s="4">
        <v>2.5499999999999998</v>
      </c>
      <c r="D85" s="4">
        <v>0</v>
      </c>
      <c r="E85" s="4">
        <v>3.05</v>
      </c>
      <c r="F85" s="4">
        <v>4.25</v>
      </c>
      <c r="G85" s="4">
        <v>6</v>
      </c>
      <c r="H85" s="4">
        <v>51</v>
      </c>
      <c r="I85" s="4">
        <v>29</v>
      </c>
      <c r="J85" s="6" t="s">
        <v>953</v>
      </c>
      <c r="K85" s="4">
        <v>0.06</v>
      </c>
      <c r="L85" s="4">
        <v>0</v>
      </c>
      <c r="M85" s="4">
        <v>0</v>
      </c>
      <c r="N85" s="4">
        <v>0.09</v>
      </c>
      <c r="O85" s="4">
        <v>10</v>
      </c>
      <c r="P85" s="4">
        <v>33</v>
      </c>
    </row>
    <row r="86" spans="2:16" x14ac:dyDescent="0.3">
      <c r="B86" s="6" t="s">
        <v>954</v>
      </c>
      <c r="C86" s="4">
        <v>1.49</v>
      </c>
      <c r="D86" s="4">
        <v>0.76</v>
      </c>
      <c r="E86" s="4">
        <v>1.4</v>
      </c>
      <c r="F86" s="4">
        <v>1.57</v>
      </c>
      <c r="G86" s="4">
        <v>13</v>
      </c>
      <c r="H86" s="4">
        <v>15</v>
      </c>
      <c r="I86" s="4">
        <v>29.5</v>
      </c>
      <c r="J86" s="6" t="s">
        <v>955</v>
      </c>
      <c r="K86" s="4">
        <v>0.04</v>
      </c>
      <c r="L86" s="4">
        <v>0</v>
      </c>
      <c r="M86" s="4">
        <v>0</v>
      </c>
      <c r="N86" s="4">
        <v>0.1</v>
      </c>
      <c r="O86" s="4">
        <v>6</v>
      </c>
      <c r="P86" s="4">
        <v>21</v>
      </c>
    </row>
    <row r="87" spans="2:16" x14ac:dyDescent="0.3">
      <c r="B87" s="6" t="s">
        <v>956</v>
      </c>
      <c r="C87" s="4">
        <v>2.8</v>
      </c>
      <c r="D87" s="4">
        <v>0</v>
      </c>
      <c r="E87" s="4">
        <v>2.31</v>
      </c>
      <c r="F87" s="4">
        <v>2.65</v>
      </c>
      <c r="G87" s="4">
        <v>2</v>
      </c>
      <c r="H87" s="4">
        <v>288</v>
      </c>
      <c r="I87" s="4">
        <v>30</v>
      </c>
      <c r="J87" s="6" t="s">
        <v>957</v>
      </c>
      <c r="K87" s="4">
        <v>0.12</v>
      </c>
      <c r="L87" s="4">
        <v>0</v>
      </c>
      <c r="M87" s="4">
        <v>0.05</v>
      </c>
      <c r="N87" s="4">
        <v>0.14000000000000001</v>
      </c>
      <c r="O87" s="4">
        <v>3</v>
      </c>
      <c r="P87" s="4">
        <v>123</v>
      </c>
    </row>
    <row r="88" spans="2:16" x14ac:dyDescent="0.3">
      <c r="B88" s="6" t="s">
        <v>958</v>
      </c>
      <c r="C88" s="4">
        <v>2.15</v>
      </c>
      <c r="D88" s="4">
        <v>0</v>
      </c>
      <c r="E88" s="4">
        <v>1.84</v>
      </c>
      <c r="F88" s="4">
        <v>2.16</v>
      </c>
      <c r="G88" s="4">
        <v>5</v>
      </c>
      <c r="H88" s="4">
        <v>1660</v>
      </c>
      <c r="I88" s="4">
        <v>30.5</v>
      </c>
      <c r="J88" s="6" t="s">
        <v>959</v>
      </c>
      <c r="K88" s="4">
        <v>0.1</v>
      </c>
      <c r="L88" s="4">
        <v>-0.04</v>
      </c>
      <c r="M88" s="4">
        <v>0</v>
      </c>
      <c r="N88" s="4">
        <v>0.1</v>
      </c>
      <c r="O88" s="4">
        <v>20</v>
      </c>
      <c r="P88" s="4">
        <v>299</v>
      </c>
    </row>
    <row r="89" spans="2:16" x14ac:dyDescent="0.3">
      <c r="B89" s="6" t="s">
        <v>960</v>
      </c>
      <c r="C89" s="4">
        <v>1.75</v>
      </c>
      <c r="D89" s="4">
        <v>0.59</v>
      </c>
      <c r="E89" s="4">
        <v>1.67</v>
      </c>
      <c r="F89" s="4">
        <v>1.78</v>
      </c>
      <c r="G89" s="4">
        <v>3</v>
      </c>
      <c r="H89" s="4">
        <v>457</v>
      </c>
      <c r="I89" s="4">
        <v>31</v>
      </c>
      <c r="J89" s="6" t="s">
        <v>961</v>
      </c>
      <c r="K89" s="4">
        <v>0.15</v>
      </c>
      <c r="L89" s="4">
        <v>0.04</v>
      </c>
      <c r="M89" s="4">
        <v>0.08</v>
      </c>
      <c r="N89" s="4">
        <v>0.16</v>
      </c>
      <c r="O89" s="4">
        <v>10</v>
      </c>
      <c r="P89" s="4">
        <v>2734</v>
      </c>
    </row>
    <row r="90" spans="2:16" x14ac:dyDescent="0.3">
      <c r="B90" s="6" t="s">
        <v>962</v>
      </c>
      <c r="C90" s="4">
        <v>1.45</v>
      </c>
      <c r="D90" s="4">
        <v>0.64</v>
      </c>
      <c r="E90" s="4">
        <v>1.23</v>
      </c>
      <c r="F90" s="4">
        <v>1.37</v>
      </c>
      <c r="G90" s="4">
        <v>3</v>
      </c>
      <c r="H90" s="4">
        <v>437</v>
      </c>
      <c r="I90" s="4">
        <v>31.5</v>
      </c>
      <c r="J90" s="6" t="s">
        <v>963</v>
      </c>
      <c r="K90" s="4">
        <v>0.3</v>
      </c>
      <c r="L90" s="4">
        <v>-0.17</v>
      </c>
      <c r="M90" s="4">
        <v>0.13</v>
      </c>
      <c r="N90" s="4">
        <v>0.22</v>
      </c>
      <c r="O90" s="4">
        <v>66</v>
      </c>
      <c r="P90" s="4">
        <v>1782</v>
      </c>
    </row>
    <row r="91" spans="2:16" x14ac:dyDescent="0.3">
      <c r="B91" s="6" t="s">
        <v>964</v>
      </c>
      <c r="C91" s="4">
        <v>0.91</v>
      </c>
      <c r="D91" s="4">
        <v>0.11</v>
      </c>
      <c r="E91" s="4">
        <v>0.85</v>
      </c>
      <c r="F91" s="4">
        <v>0.91</v>
      </c>
      <c r="G91" s="4">
        <v>896</v>
      </c>
      <c r="H91" s="4">
        <v>3492</v>
      </c>
      <c r="I91" s="4">
        <v>32</v>
      </c>
      <c r="J91" s="6" t="s">
        <v>965</v>
      </c>
      <c r="K91" s="4">
        <v>0.33</v>
      </c>
      <c r="L91" s="4">
        <v>-0.06</v>
      </c>
      <c r="M91" s="4">
        <v>0.28999999999999998</v>
      </c>
      <c r="N91" s="4">
        <v>0.42</v>
      </c>
      <c r="O91" s="4">
        <v>36</v>
      </c>
      <c r="P91" s="4">
        <v>7293</v>
      </c>
    </row>
    <row r="92" spans="2:16" x14ac:dyDescent="0.3">
      <c r="B92" s="6" t="s">
        <v>966</v>
      </c>
      <c r="C92" s="4">
        <v>0.65</v>
      </c>
      <c r="D92" s="4">
        <v>0.15</v>
      </c>
      <c r="E92" s="4">
        <v>0.53</v>
      </c>
      <c r="F92" s="4">
        <v>0.6</v>
      </c>
      <c r="G92" s="4">
        <v>5</v>
      </c>
      <c r="H92" s="4">
        <v>318</v>
      </c>
      <c r="I92" s="4">
        <v>32.5</v>
      </c>
      <c r="J92" s="6" t="s">
        <v>967</v>
      </c>
      <c r="K92" s="4">
        <v>0.45</v>
      </c>
      <c r="L92" s="4">
        <v>-0.22</v>
      </c>
      <c r="M92" s="4">
        <v>0.4</v>
      </c>
      <c r="N92" s="4">
        <v>0.51</v>
      </c>
      <c r="O92" s="4">
        <v>2</v>
      </c>
      <c r="P92" s="4">
        <v>2861</v>
      </c>
    </row>
    <row r="93" spans="2:16" x14ac:dyDescent="0.3">
      <c r="B93" s="6" t="s">
        <v>968</v>
      </c>
      <c r="C93" s="4">
        <v>0.35</v>
      </c>
      <c r="D93" s="4">
        <v>0.08</v>
      </c>
      <c r="E93" s="4">
        <v>0.3</v>
      </c>
      <c r="F93" s="4">
        <v>0.35</v>
      </c>
      <c r="G93" s="4">
        <v>37</v>
      </c>
      <c r="H93" s="4">
        <v>1151</v>
      </c>
      <c r="I93" s="4">
        <v>33</v>
      </c>
      <c r="J93" s="6" t="s">
        <v>969</v>
      </c>
      <c r="K93" s="4">
        <v>0.8</v>
      </c>
      <c r="L93" s="4">
        <v>-0.03</v>
      </c>
      <c r="M93" s="4">
        <v>0.77</v>
      </c>
      <c r="N93" s="4">
        <v>0.95</v>
      </c>
      <c r="O93" s="4">
        <v>100</v>
      </c>
      <c r="P93" s="4">
        <v>926</v>
      </c>
    </row>
    <row r="94" spans="2:16" x14ac:dyDescent="0.3">
      <c r="B94" s="6" t="s">
        <v>970</v>
      </c>
      <c r="C94" s="4">
        <v>0.13</v>
      </c>
      <c r="D94" s="4">
        <v>0.02</v>
      </c>
      <c r="E94" s="4">
        <v>0.16</v>
      </c>
      <c r="F94" s="4">
        <v>0.23</v>
      </c>
      <c r="G94" s="4">
        <v>50</v>
      </c>
      <c r="H94" s="4">
        <v>1753</v>
      </c>
      <c r="I94" s="4">
        <v>33.5</v>
      </c>
      <c r="J94" s="6" t="s">
        <v>971</v>
      </c>
      <c r="K94" s="4">
        <v>1.1200000000000001</v>
      </c>
      <c r="L94" s="4">
        <v>0</v>
      </c>
      <c r="M94" s="4">
        <v>1.1299999999999999</v>
      </c>
      <c r="N94" s="4">
        <v>1.27</v>
      </c>
      <c r="O94" s="4">
        <v>5</v>
      </c>
      <c r="P94" s="4">
        <v>795</v>
      </c>
    </row>
    <row r="95" spans="2:16" x14ac:dyDescent="0.3">
      <c r="B95" s="6" t="s">
        <v>972</v>
      </c>
      <c r="C95" s="4">
        <v>0.06</v>
      </c>
      <c r="D95" s="4">
        <v>-0.02</v>
      </c>
      <c r="E95" s="4">
        <v>0.06</v>
      </c>
      <c r="F95" s="4">
        <v>0.13</v>
      </c>
      <c r="G95" s="4">
        <v>48</v>
      </c>
      <c r="H95" s="4">
        <v>444</v>
      </c>
      <c r="I95" s="4">
        <v>34</v>
      </c>
      <c r="J95" s="6" t="s">
        <v>973</v>
      </c>
      <c r="K95" s="4">
        <v>1.42</v>
      </c>
      <c r="L95" s="4">
        <v>0</v>
      </c>
      <c r="M95" s="4">
        <v>1.24</v>
      </c>
      <c r="N95" s="4">
        <v>2.04</v>
      </c>
      <c r="O95" s="4">
        <v>402</v>
      </c>
      <c r="P95" s="4">
        <v>488</v>
      </c>
    </row>
    <row r="96" spans="2:16" x14ac:dyDescent="0.3">
      <c r="B96" s="6" t="s">
        <v>974</v>
      </c>
      <c r="C96" s="4">
        <v>7.0000000000000007E-2</v>
      </c>
      <c r="D96" s="4">
        <v>0</v>
      </c>
      <c r="E96" s="4">
        <v>0.04</v>
      </c>
      <c r="F96" s="4">
        <v>0.18</v>
      </c>
      <c r="G96" s="4">
        <v>1</v>
      </c>
      <c r="H96" s="4">
        <v>9</v>
      </c>
      <c r="I96" s="4">
        <v>34.5</v>
      </c>
      <c r="J96" s="6" t="s">
        <v>975</v>
      </c>
      <c r="K96" s="4">
        <v>1.8</v>
      </c>
      <c r="L96" s="4">
        <v>0</v>
      </c>
      <c r="M96" s="4">
        <v>1.64</v>
      </c>
      <c r="N96" s="4">
        <v>2.5299999999999998</v>
      </c>
      <c r="O96" s="4">
        <v>212</v>
      </c>
      <c r="P96" s="4">
        <v>238</v>
      </c>
    </row>
    <row r="97" spans="2:16" x14ac:dyDescent="0.3">
      <c r="B97" s="6" t="s">
        <v>976</v>
      </c>
      <c r="C97" s="4">
        <v>0.17</v>
      </c>
      <c r="D97" s="4">
        <v>0</v>
      </c>
      <c r="E97" s="4">
        <v>0.08</v>
      </c>
      <c r="F97" s="4">
        <v>0.17</v>
      </c>
      <c r="G97" s="4">
        <v>5</v>
      </c>
      <c r="H97" s="4">
        <v>0</v>
      </c>
      <c r="I97" s="4">
        <v>35</v>
      </c>
      <c r="J97" s="6" t="s">
        <v>977</v>
      </c>
      <c r="K97" s="4">
        <v>2.58</v>
      </c>
      <c r="L97" s="4">
        <v>0</v>
      </c>
      <c r="M97" s="4">
        <v>2.14</v>
      </c>
      <c r="N97" s="4">
        <v>2.89</v>
      </c>
      <c r="O97" s="4">
        <v>94</v>
      </c>
      <c r="P97" s="4">
        <v>283</v>
      </c>
    </row>
    <row r="98" spans="2:16" x14ac:dyDescent="0.3">
      <c r="B98" s="6" t="s">
        <v>978</v>
      </c>
      <c r="C98" s="4" t="s">
        <v>366</v>
      </c>
      <c r="D98" s="4" t="s">
        <v>366</v>
      </c>
      <c r="E98" s="4" t="s">
        <v>366</v>
      </c>
      <c r="F98" s="4" t="s">
        <v>366</v>
      </c>
      <c r="G98" s="4" t="s">
        <v>366</v>
      </c>
      <c r="H98" s="4" t="s">
        <v>366</v>
      </c>
      <c r="I98" s="4">
        <v>35.5</v>
      </c>
      <c r="J98" s="6" t="s">
        <v>979</v>
      </c>
      <c r="K98" s="4">
        <v>3.4</v>
      </c>
      <c r="L98" s="4">
        <v>0</v>
      </c>
      <c r="M98" s="4">
        <v>2.61</v>
      </c>
      <c r="N98" s="4">
        <v>3.4</v>
      </c>
      <c r="O98" s="4">
        <v>49</v>
      </c>
      <c r="P98" s="4">
        <v>90</v>
      </c>
    </row>
    <row r="99" spans="2:16" x14ac:dyDescent="0.3">
      <c r="B99" s="6" t="s">
        <v>980</v>
      </c>
      <c r="C99" s="4" t="s">
        <v>366</v>
      </c>
      <c r="D99" s="4" t="s">
        <v>366</v>
      </c>
      <c r="E99" s="4" t="s">
        <v>366</v>
      </c>
      <c r="F99" s="4" t="s">
        <v>366</v>
      </c>
      <c r="G99" s="4" t="s">
        <v>366</v>
      </c>
      <c r="H99" s="4" t="s">
        <v>366</v>
      </c>
      <c r="I99" s="4">
        <v>37</v>
      </c>
      <c r="J99" s="6" t="s">
        <v>981</v>
      </c>
      <c r="K99" s="4">
        <v>6.85</v>
      </c>
      <c r="L99" s="4">
        <v>0</v>
      </c>
      <c r="M99" s="4">
        <v>6.15</v>
      </c>
      <c r="N99" s="4">
        <v>6.95</v>
      </c>
      <c r="O99" s="4">
        <v>96</v>
      </c>
      <c r="P99" s="4">
        <v>0</v>
      </c>
    </row>
    <row r="100" spans="2:16" x14ac:dyDescent="0.3">
      <c r="B100" s="6" t="s">
        <v>982</v>
      </c>
      <c r="C100" s="4" t="s">
        <v>366</v>
      </c>
      <c r="D100" s="4" t="s">
        <v>366</v>
      </c>
      <c r="E100" s="4" t="s">
        <v>366</v>
      </c>
      <c r="F100" s="4" t="s">
        <v>366</v>
      </c>
      <c r="G100" s="4" t="s">
        <v>366</v>
      </c>
      <c r="H100" s="4" t="s">
        <v>366</v>
      </c>
      <c r="I100" s="4">
        <v>38</v>
      </c>
      <c r="J100" s="6" t="s">
        <v>983</v>
      </c>
      <c r="K100" s="4">
        <v>5.05</v>
      </c>
      <c r="L100" s="4">
        <v>0</v>
      </c>
      <c r="M100" s="4">
        <v>3.65</v>
      </c>
      <c r="N100" s="4">
        <v>7.85</v>
      </c>
      <c r="O100" s="4">
        <v>54</v>
      </c>
      <c r="P100" s="4">
        <v>54</v>
      </c>
    </row>
    <row r="101" spans="2:16" x14ac:dyDescent="0.3">
      <c r="B101" s="6" t="s">
        <v>984</v>
      </c>
      <c r="C101" s="4" t="s">
        <v>366</v>
      </c>
      <c r="D101" s="4" t="s">
        <v>366</v>
      </c>
      <c r="E101" s="4" t="s">
        <v>366</v>
      </c>
      <c r="F101" s="4" t="s">
        <v>366</v>
      </c>
      <c r="G101" s="4" t="s">
        <v>366</v>
      </c>
      <c r="H101" s="4" t="s">
        <v>366</v>
      </c>
      <c r="I101" s="4">
        <v>40</v>
      </c>
      <c r="J101" s="6" t="s">
        <v>985</v>
      </c>
      <c r="K101" s="4">
        <v>7.3</v>
      </c>
      <c r="L101" s="4">
        <v>0</v>
      </c>
      <c r="M101" s="4">
        <v>5.85</v>
      </c>
      <c r="N101" s="4">
        <v>10</v>
      </c>
      <c r="O101" s="4">
        <v>21</v>
      </c>
      <c r="P101" s="4">
        <v>21</v>
      </c>
    </row>
    <row r="102" spans="2:16" x14ac:dyDescent="0.3">
      <c r="B102" s="6" t="s">
        <v>986</v>
      </c>
      <c r="C102" s="4">
        <v>4.3</v>
      </c>
      <c r="D102" s="4">
        <v>0</v>
      </c>
      <c r="E102" s="4">
        <v>4.2</v>
      </c>
      <c r="F102" s="4">
        <v>4.9000000000000004</v>
      </c>
      <c r="G102" s="4">
        <v>10</v>
      </c>
      <c r="H102" s="4">
        <v>10</v>
      </c>
      <c r="I102" s="4">
        <v>28</v>
      </c>
      <c r="J102" s="6" t="s">
        <v>987</v>
      </c>
      <c r="K102" s="4">
        <v>0.32</v>
      </c>
      <c r="L102" s="4">
        <v>0</v>
      </c>
      <c r="M102" s="4">
        <v>0.21</v>
      </c>
      <c r="N102" s="4">
        <v>0.24</v>
      </c>
      <c r="O102" s="4">
        <v>7</v>
      </c>
      <c r="P102" s="4">
        <v>0</v>
      </c>
    </row>
    <row r="103" spans="2:16" x14ac:dyDescent="0.3">
      <c r="B103" s="6" t="s">
        <v>988</v>
      </c>
      <c r="C103" s="4" t="s">
        <v>366</v>
      </c>
      <c r="D103" s="4" t="s">
        <v>366</v>
      </c>
      <c r="E103" s="4" t="s">
        <v>366</v>
      </c>
      <c r="F103" s="4" t="s">
        <v>366</v>
      </c>
      <c r="G103" s="4" t="s">
        <v>366</v>
      </c>
      <c r="H103" s="4" t="s">
        <v>366</v>
      </c>
      <c r="I103" s="4">
        <v>28.5</v>
      </c>
      <c r="J103" s="6" t="s">
        <v>989</v>
      </c>
      <c r="K103" s="4">
        <v>0.05</v>
      </c>
      <c r="L103" s="4">
        <v>0</v>
      </c>
      <c r="M103" s="4">
        <v>0</v>
      </c>
      <c r="N103" s="4">
        <v>0.09</v>
      </c>
      <c r="O103" s="4">
        <v>1</v>
      </c>
      <c r="P103" s="4">
        <v>25</v>
      </c>
    </row>
    <row r="104" spans="2:16" x14ac:dyDescent="0.3">
      <c r="B104" s="6" t="s">
        <v>990</v>
      </c>
      <c r="C104" s="4" t="s">
        <v>366</v>
      </c>
      <c r="D104" s="4" t="s">
        <v>366</v>
      </c>
      <c r="E104" s="4" t="s">
        <v>366</v>
      </c>
      <c r="F104" s="4" t="s">
        <v>366</v>
      </c>
      <c r="G104" s="4" t="s">
        <v>366</v>
      </c>
      <c r="H104" s="4" t="s">
        <v>366</v>
      </c>
      <c r="I104" s="4">
        <v>29</v>
      </c>
      <c r="J104" s="6" t="s">
        <v>991</v>
      </c>
      <c r="K104" s="4">
        <v>0.35</v>
      </c>
      <c r="L104" s="4">
        <v>0</v>
      </c>
      <c r="M104" s="4">
        <v>0.05</v>
      </c>
      <c r="N104" s="4">
        <v>0.13</v>
      </c>
      <c r="O104" s="4">
        <v>10</v>
      </c>
      <c r="P104" s="4">
        <v>8894</v>
      </c>
    </row>
    <row r="105" spans="2:16" x14ac:dyDescent="0.3">
      <c r="B105" s="6" t="s">
        <v>992</v>
      </c>
      <c r="C105" s="4" t="s">
        <v>366</v>
      </c>
      <c r="D105" s="4" t="s">
        <v>366</v>
      </c>
      <c r="E105" s="4" t="s">
        <v>366</v>
      </c>
      <c r="F105" s="4" t="s">
        <v>366</v>
      </c>
      <c r="G105" s="4" t="s">
        <v>366</v>
      </c>
      <c r="H105" s="4" t="s">
        <v>366</v>
      </c>
      <c r="I105" s="4">
        <v>29.5</v>
      </c>
      <c r="J105" s="6" t="s">
        <v>993</v>
      </c>
      <c r="K105" s="4">
        <v>0.08</v>
      </c>
      <c r="L105" s="4">
        <v>0</v>
      </c>
      <c r="M105" s="4">
        <v>0</v>
      </c>
      <c r="N105" s="4">
        <v>0.12</v>
      </c>
      <c r="O105" s="4">
        <v>1</v>
      </c>
      <c r="P105" s="4">
        <v>33</v>
      </c>
    </row>
    <row r="106" spans="2:16" x14ac:dyDescent="0.3">
      <c r="B106" s="6" t="s">
        <v>994</v>
      </c>
      <c r="C106" s="4">
        <v>3</v>
      </c>
      <c r="D106" s="4">
        <v>0</v>
      </c>
      <c r="E106" s="4">
        <v>2.34</v>
      </c>
      <c r="F106" s="4">
        <v>2.69</v>
      </c>
      <c r="G106" s="4">
        <v>10</v>
      </c>
      <c r="H106" s="4">
        <v>64</v>
      </c>
      <c r="I106" s="4">
        <v>30</v>
      </c>
      <c r="J106" s="6" t="s">
        <v>995</v>
      </c>
      <c r="K106" s="4">
        <v>7.0000000000000007E-2</v>
      </c>
      <c r="L106" s="4">
        <v>-0.09</v>
      </c>
      <c r="M106" s="4">
        <v>7.0000000000000007E-2</v>
      </c>
      <c r="N106" s="4">
        <v>0.09</v>
      </c>
      <c r="O106" s="4">
        <v>59</v>
      </c>
      <c r="P106" s="4">
        <v>22</v>
      </c>
    </row>
    <row r="107" spans="2:16" x14ac:dyDescent="0.3">
      <c r="B107" s="6" t="s">
        <v>996</v>
      </c>
      <c r="C107" s="4">
        <v>1.93</v>
      </c>
      <c r="D107" s="4">
        <v>0</v>
      </c>
      <c r="E107" s="4">
        <v>1.85</v>
      </c>
      <c r="F107" s="4">
        <v>2.17</v>
      </c>
      <c r="G107" s="4">
        <v>11</v>
      </c>
      <c r="H107" s="4">
        <v>25</v>
      </c>
      <c r="I107" s="4">
        <v>30.5</v>
      </c>
      <c r="J107" s="6" t="s">
        <v>997</v>
      </c>
      <c r="K107" s="4">
        <v>0.28999999999999998</v>
      </c>
      <c r="L107" s="4">
        <v>0</v>
      </c>
      <c r="M107" s="4">
        <v>0.12</v>
      </c>
      <c r="N107" s="4">
        <v>0.18</v>
      </c>
      <c r="O107" s="4">
        <v>50</v>
      </c>
      <c r="P107" s="4">
        <v>94</v>
      </c>
    </row>
    <row r="108" spans="2:16" x14ac:dyDescent="0.3">
      <c r="B108" s="6" t="s">
        <v>998</v>
      </c>
      <c r="C108" s="4">
        <v>1.1399999999999999</v>
      </c>
      <c r="D108" s="4">
        <v>0</v>
      </c>
      <c r="E108" s="4">
        <v>1.41</v>
      </c>
      <c r="F108" s="4">
        <v>1.71</v>
      </c>
      <c r="G108" s="4">
        <v>50</v>
      </c>
      <c r="H108" s="4">
        <v>179</v>
      </c>
      <c r="I108" s="4">
        <v>31</v>
      </c>
      <c r="J108" s="6" t="s">
        <v>999</v>
      </c>
      <c r="K108" s="4">
        <v>0.18</v>
      </c>
      <c r="L108" s="4">
        <v>-0.16</v>
      </c>
      <c r="M108" s="4">
        <v>0.19</v>
      </c>
      <c r="N108" s="4">
        <v>0.25</v>
      </c>
      <c r="O108" s="4">
        <v>51</v>
      </c>
      <c r="P108" s="4">
        <v>36</v>
      </c>
    </row>
    <row r="109" spans="2:16" x14ac:dyDescent="0.3">
      <c r="B109" s="6" t="s">
        <v>1000</v>
      </c>
      <c r="C109" s="4">
        <v>0.87</v>
      </c>
      <c r="D109" s="4">
        <v>0</v>
      </c>
      <c r="E109" s="4">
        <v>1.1399999999999999</v>
      </c>
      <c r="F109" s="4">
        <v>1.27</v>
      </c>
      <c r="G109" s="4">
        <v>16</v>
      </c>
      <c r="H109" s="4">
        <v>660</v>
      </c>
      <c r="I109" s="4">
        <v>31.5</v>
      </c>
      <c r="J109" s="6" t="s">
        <v>1001</v>
      </c>
      <c r="K109" s="4">
        <v>0.26</v>
      </c>
      <c r="L109" s="4">
        <v>-0.08</v>
      </c>
      <c r="M109" s="4">
        <v>0.26</v>
      </c>
      <c r="N109" s="4">
        <v>0.28999999999999998</v>
      </c>
      <c r="O109" s="4">
        <v>160</v>
      </c>
      <c r="P109" s="4">
        <v>163</v>
      </c>
    </row>
    <row r="110" spans="2:16" x14ac:dyDescent="0.3">
      <c r="B110" s="6" t="s">
        <v>1002</v>
      </c>
      <c r="C110" s="4">
        <v>0.79</v>
      </c>
      <c r="D110" s="4">
        <v>-0.19</v>
      </c>
      <c r="E110" s="4">
        <v>0.79</v>
      </c>
      <c r="F110" s="4">
        <v>0.87</v>
      </c>
      <c r="G110" s="4">
        <v>9</v>
      </c>
      <c r="H110" s="4">
        <v>176</v>
      </c>
      <c r="I110" s="4">
        <v>32</v>
      </c>
      <c r="J110" s="6" t="s">
        <v>1003</v>
      </c>
      <c r="K110" s="4">
        <v>0.5</v>
      </c>
      <c r="L110" s="4">
        <v>-0.02</v>
      </c>
      <c r="M110" s="4">
        <v>0.46</v>
      </c>
      <c r="N110" s="4">
        <v>0.56999999999999995</v>
      </c>
      <c r="O110" s="4">
        <v>88</v>
      </c>
      <c r="P110" s="4">
        <v>84</v>
      </c>
    </row>
    <row r="111" spans="2:16" x14ac:dyDescent="0.3">
      <c r="B111" s="6" t="s">
        <v>1004</v>
      </c>
      <c r="C111" s="4">
        <v>0.7</v>
      </c>
      <c r="D111" s="4">
        <v>0.22</v>
      </c>
      <c r="E111" s="4">
        <v>0.56000000000000005</v>
      </c>
      <c r="F111" s="4">
        <v>0.63</v>
      </c>
      <c r="G111" s="4">
        <v>16</v>
      </c>
      <c r="H111" s="4">
        <v>202</v>
      </c>
      <c r="I111" s="4">
        <v>32.5</v>
      </c>
      <c r="J111" s="6" t="s">
        <v>1005</v>
      </c>
      <c r="K111" s="4">
        <v>0.6</v>
      </c>
      <c r="L111" s="4">
        <v>-0.12</v>
      </c>
      <c r="M111" s="4">
        <v>0.63</v>
      </c>
      <c r="N111" s="4">
        <v>0.69</v>
      </c>
      <c r="O111" s="4">
        <v>3</v>
      </c>
      <c r="P111" s="4">
        <v>54</v>
      </c>
    </row>
    <row r="112" spans="2:16" x14ac:dyDescent="0.3">
      <c r="B112" s="6" t="s">
        <v>1006</v>
      </c>
      <c r="C112" s="4">
        <v>0.42</v>
      </c>
      <c r="D112" s="4">
        <v>0.15</v>
      </c>
      <c r="E112" s="4">
        <v>0.33</v>
      </c>
      <c r="F112" s="4">
        <v>0.37</v>
      </c>
      <c r="G112" s="4">
        <v>36</v>
      </c>
      <c r="H112" s="4">
        <v>366</v>
      </c>
      <c r="I112" s="4">
        <v>33</v>
      </c>
      <c r="J112" s="6" t="s">
        <v>1007</v>
      </c>
      <c r="K112" s="4">
        <v>1.1499999999999999</v>
      </c>
      <c r="L112" s="4">
        <v>0</v>
      </c>
      <c r="M112" s="4">
        <v>1.06</v>
      </c>
      <c r="N112" s="4">
        <v>1.26</v>
      </c>
      <c r="O112" s="4">
        <v>1</v>
      </c>
      <c r="P112" s="4">
        <v>21</v>
      </c>
    </row>
    <row r="113" spans="2:16" x14ac:dyDescent="0.3">
      <c r="B113" s="6" t="s">
        <v>1008</v>
      </c>
      <c r="C113" s="4">
        <v>0.23</v>
      </c>
      <c r="D113" s="4">
        <v>0.08</v>
      </c>
      <c r="E113" s="4">
        <v>0.17</v>
      </c>
      <c r="F113" s="4">
        <v>0.2</v>
      </c>
      <c r="G113" s="4">
        <v>16</v>
      </c>
      <c r="H113" s="4">
        <v>63</v>
      </c>
      <c r="I113" s="4">
        <v>33.5</v>
      </c>
      <c r="J113" s="6" t="s">
        <v>1009</v>
      </c>
      <c r="K113" s="4" t="s">
        <v>366</v>
      </c>
      <c r="L113" s="4" t="s">
        <v>366</v>
      </c>
      <c r="M113" s="4" t="s">
        <v>366</v>
      </c>
      <c r="N113" s="4" t="s">
        <v>366</v>
      </c>
      <c r="O113" s="4" t="s">
        <v>366</v>
      </c>
      <c r="P113" s="4" t="s">
        <v>366</v>
      </c>
    </row>
    <row r="114" spans="2:16" x14ac:dyDescent="0.3">
      <c r="B114" s="6" t="s">
        <v>1010</v>
      </c>
      <c r="C114" s="4">
        <v>0.09</v>
      </c>
      <c r="D114" s="4">
        <v>0</v>
      </c>
      <c r="E114" s="4">
        <v>0.02</v>
      </c>
      <c r="F114" s="4">
        <v>0.14000000000000001</v>
      </c>
      <c r="G114" s="4">
        <v>9</v>
      </c>
      <c r="H114" s="4">
        <v>279</v>
      </c>
      <c r="I114" s="4">
        <v>34</v>
      </c>
      <c r="J114" s="6" t="s">
        <v>1011</v>
      </c>
      <c r="K114" s="4" t="s">
        <v>366</v>
      </c>
      <c r="L114" s="4" t="s">
        <v>366</v>
      </c>
      <c r="M114" s="4" t="s">
        <v>366</v>
      </c>
      <c r="N114" s="4" t="s">
        <v>366</v>
      </c>
      <c r="O114" s="4" t="s">
        <v>366</v>
      </c>
      <c r="P114" s="4" t="s">
        <v>366</v>
      </c>
    </row>
    <row r="115" spans="2:16" x14ac:dyDescent="0.3">
      <c r="B115" s="6" t="s">
        <v>1012</v>
      </c>
      <c r="C115" s="4">
        <v>0.24</v>
      </c>
      <c r="D115" s="4">
        <v>0</v>
      </c>
      <c r="E115" s="4">
        <v>0.05</v>
      </c>
      <c r="F115" s="4">
        <v>0.13</v>
      </c>
      <c r="G115" s="4">
        <v>2</v>
      </c>
      <c r="H115" s="4">
        <v>2</v>
      </c>
      <c r="I115" s="4">
        <v>34.5</v>
      </c>
      <c r="J115" s="6" t="s">
        <v>1013</v>
      </c>
      <c r="K115" s="4" t="s">
        <v>366</v>
      </c>
      <c r="L115" s="4" t="s">
        <v>366</v>
      </c>
      <c r="M115" s="4" t="s">
        <v>366</v>
      </c>
      <c r="N115" s="4" t="s">
        <v>366</v>
      </c>
      <c r="O115" s="4" t="s">
        <v>366</v>
      </c>
      <c r="P115" s="4" t="s">
        <v>366</v>
      </c>
    </row>
    <row r="116" spans="2:16" x14ac:dyDescent="0.3">
      <c r="B116" s="6" t="s">
        <v>1014</v>
      </c>
      <c r="C116" s="4" t="s">
        <v>366</v>
      </c>
      <c r="D116" s="4" t="s">
        <v>366</v>
      </c>
      <c r="E116" s="4" t="s">
        <v>366</v>
      </c>
      <c r="F116" s="4" t="s">
        <v>366</v>
      </c>
      <c r="G116" s="4" t="s">
        <v>366</v>
      </c>
      <c r="H116" s="4" t="s">
        <v>366</v>
      </c>
      <c r="I116" s="4">
        <v>35</v>
      </c>
      <c r="J116" s="6" t="s">
        <v>1015</v>
      </c>
      <c r="K116" s="4">
        <v>5.17</v>
      </c>
      <c r="L116" s="4">
        <v>0</v>
      </c>
      <c r="M116" s="4">
        <v>3.95</v>
      </c>
      <c r="N116" s="4">
        <v>6.85</v>
      </c>
      <c r="O116" s="4">
        <v>3</v>
      </c>
      <c r="P116" s="4">
        <v>0</v>
      </c>
    </row>
    <row r="117" spans="2:16" x14ac:dyDescent="0.3">
      <c r="B117" s="6" t="s">
        <v>1016</v>
      </c>
      <c r="C117" s="4">
        <v>0</v>
      </c>
      <c r="D117" s="4">
        <v>0</v>
      </c>
      <c r="E117" s="4">
        <v>9.0500000000000007</v>
      </c>
      <c r="F117" s="4">
        <v>10.1</v>
      </c>
      <c r="G117" s="4">
        <v>0</v>
      </c>
      <c r="H117" s="4">
        <v>0</v>
      </c>
      <c r="I117" s="4">
        <v>20</v>
      </c>
      <c r="J117" s="6" t="s">
        <v>1017</v>
      </c>
      <c r="K117" s="4">
        <v>0.02</v>
      </c>
      <c r="L117" s="4">
        <v>-0.04</v>
      </c>
      <c r="M117" s="4">
        <v>0</v>
      </c>
      <c r="N117" s="4">
        <v>0.02</v>
      </c>
      <c r="O117" s="4">
        <v>7</v>
      </c>
      <c r="P117" s="4">
        <v>52</v>
      </c>
    </row>
    <row r="118" spans="2:16" x14ac:dyDescent="0.3">
      <c r="B118" s="6" t="s">
        <v>1018</v>
      </c>
      <c r="C118" s="4">
        <v>8.9499999999999993</v>
      </c>
      <c r="D118" s="4">
        <v>0</v>
      </c>
      <c r="E118" s="4">
        <v>7.65</v>
      </c>
      <c r="F118" s="4">
        <v>9.75</v>
      </c>
      <c r="G118" s="4">
        <v>10</v>
      </c>
      <c r="H118" s="4">
        <v>0</v>
      </c>
      <c r="I118" s="4">
        <v>21</v>
      </c>
      <c r="J118" s="6" t="s">
        <v>1019</v>
      </c>
      <c r="K118" s="4">
        <v>0.02</v>
      </c>
      <c r="L118" s="4">
        <v>0</v>
      </c>
      <c r="M118" s="4">
        <v>0</v>
      </c>
      <c r="N118" s="4">
        <v>0.03</v>
      </c>
      <c r="O118" s="4">
        <v>1</v>
      </c>
      <c r="P118" s="4">
        <v>1</v>
      </c>
    </row>
    <row r="119" spans="2:16" x14ac:dyDescent="0.3">
      <c r="B119" s="6" t="s">
        <v>1020</v>
      </c>
      <c r="C119" s="4">
        <v>7.65</v>
      </c>
      <c r="D119" s="4">
        <v>0</v>
      </c>
      <c r="E119" s="4">
        <v>6.35</v>
      </c>
      <c r="F119" s="4">
        <v>10.1</v>
      </c>
      <c r="G119" s="4">
        <v>0</v>
      </c>
      <c r="H119" s="4">
        <v>3</v>
      </c>
      <c r="I119" s="4">
        <v>22</v>
      </c>
      <c r="J119" s="6" t="s">
        <v>1021</v>
      </c>
      <c r="K119" s="4">
        <v>0.02</v>
      </c>
      <c r="L119" s="4">
        <v>-0.09</v>
      </c>
      <c r="M119" s="4">
        <v>0</v>
      </c>
      <c r="N119" s="4">
        <v>0.01</v>
      </c>
      <c r="O119" s="4">
        <v>1</v>
      </c>
      <c r="P119" s="4">
        <v>217</v>
      </c>
    </row>
    <row r="120" spans="2:16" x14ac:dyDescent="0.3">
      <c r="B120" s="6" t="s">
        <v>1022</v>
      </c>
      <c r="C120" s="4">
        <v>9.9</v>
      </c>
      <c r="D120" s="4">
        <v>0</v>
      </c>
      <c r="E120" s="4">
        <v>8.15</v>
      </c>
      <c r="F120" s="4">
        <v>10.3</v>
      </c>
      <c r="G120" s="4">
        <v>5</v>
      </c>
      <c r="H120" s="4">
        <v>9</v>
      </c>
      <c r="I120" s="4">
        <v>23</v>
      </c>
      <c r="J120" s="6" t="s">
        <v>1023</v>
      </c>
      <c r="K120" s="4">
        <v>0.01</v>
      </c>
      <c r="L120" s="4">
        <v>-0.01</v>
      </c>
      <c r="M120" s="4">
        <v>0</v>
      </c>
      <c r="N120" s="4">
        <v>0.01</v>
      </c>
      <c r="O120" s="4">
        <v>26</v>
      </c>
      <c r="P120" s="4">
        <v>1007</v>
      </c>
    </row>
    <row r="121" spans="2:16" x14ac:dyDescent="0.3">
      <c r="B121" s="6" t="s">
        <v>1024</v>
      </c>
      <c r="C121" s="4">
        <v>6.02</v>
      </c>
      <c r="D121" s="4">
        <v>0</v>
      </c>
      <c r="E121" s="4">
        <v>4.3</v>
      </c>
      <c r="F121" s="4">
        <v>8.15</v>
      </c>
      <c r="G121" s="4">
        <v>0</v>
      </c>
      <c r="H121" s="4">
        <v>4</v>
      </c>
      <c r="I121" s="4">
        <v>24</v>
      </c>
      <c r="J121" s="6" t="s">
        <v>1025</v>
      </c>
      <c r="K121" s="4">
        <v>0.05</v>
      </c>
      <c r="L121" s="4">
        <v>0</v>
      </c>
      <c r="M121" s="4">
        <v>0.03</v>
      </c>
      <c r="N121" s="4">
        <v>0.05</v>
      </c>
      <c r="O121" s="4">
        <v>10</v>
      </c>
      <c r="P121" s="4">
        <v>7586</v>
      </c>
    </row>
    <row r="122" spans="2:16" x14ac:dyDescent="0.3">
      <c r="B122" s="6" t="s">
        <v>1026</v>
      </c>
      <c r="C122" s="4">
        <v>6.95</v>
      </c>
      <c r="D122" s="4">
        <v>0</v>
      </c>
      <c r="E122" s="4">
        <v>5.4</v>
      </c>
      <c r="F122" s="4">
        <v>9.25</v>
      </c>
      <c r="G122" s="4">
        <v>3</v>
      </c>
      <c r="H122" s="4">
        <v>11</v>
      </c>
      <c r="I122" s="4">
        <v>25</v>
      </c>
      <c r="J122" s="6" t="s">
        <v>1027</v>
      </c>
      <c r="K122" s="4">
        <v>0.02</v>
      </c>
      <c r="L122" s="4">
        <v>0</v>
      </c>
      <c r="M122" s="4">
        <v>0</v>
      </c>
      <c r="N122" s="4">
        <v>0.03</v>
      </c>
      <c r="O122" s="4">
        <v>2</v>
      </c>
      <c r="P122" s="4">
        <v>1312</v>
      </c>
    </row>
    <row r="123" spans="2:16" x14ac:dyDescent="0.3">
      <c r="B123" s="6" t="s">
        <v>1028</v>
      </c>
      <c r="C123" s="4">
        <v>4.0999999999999996</v>
      </c>
      <c r="D123" s="4">
        <v>0</v>
      </c>
      <c r="E123" s="4">
        <v>3.95</v>
      </c>
      <c r="F123" s="4">
        <v>4.75</v>
      </c>
      <c r="G123" s="4">
        <v>1</v>
      </c>
      <c r="H123" s="4">
        <v>15</v>
      </c>
      <c r="I123" s="4">
        <v>26</v>
      </c>
      <c r="J123" s="6" t="s">
        <v>1029</v>
      </c>
      <c r="K123" s="4">
        <v>0.03</v>
      </c>
      <c r="L123" s="4">
        <v>0.02</v>
      </c>
      <c r="M123" s="4">
        <v>0</v>
      </c>
      <c r="N123" s="4">
        <v>0.03</v>
      </c>
      <c r="O123" s="4">
        <v>5</v>
      </c>
      <c r="P123" s="4">
        <v>1210</v>
      </c>
    </row>
    <row r="124" spans="2:16" x14ac:dyDescent="0.3">
      <c r="B124" s="6" t="s">
        <v>1030</v>
      </c>
      <c r="C124" s="4">
        <v>5</v>
      </c>
      <c r="D124" s="4">
        <v>0</v>
      </c>
      <c r="E124" s="4">
        <v>5.15</v>
      </c>
      <c r="F124" s="4">
        <v>5.8</v>
      </c>
      <c r="G124" s="4">
        <v>3</v>
      </c>
      <c r="H124" s="4">
        <v>400</v>
      </c>
      <c r="I124" s="4">
        <v>27</v>
      </c>
      <c r="J124" s="6" t="s">
        <v>1031</v>
      </c>
      <c r="K124" s="4">
        <v>0.04</v>
      </c>
      <c r="L124" s="4">
        <v>0</v>
      </c>
      <c r="M124" s="4">
        <v>0.01</v>
      </c>
      <c r="N124" s="4">
        <v>0.03</v>
      </c>
      <c r="O124" s="4">
        <v>34</v>
      </c>
      <c r="P124" s="4">
        <v>1757</v>
      </c>
    </row>
    <row r="125" spans="2:16" x14ac:dyDescent="0.3">
      <c r="B125" s="6" t="s">
        <v>1032</v>
      </c>
      <c r="C125" s="4">
        <v>4.78</v>
      </c>
      <c r="D125" s="4">
        <v>0</v>
      </c>
      <c r="E125" s="4">
        <v>4.25</v>
      </c>
      <c r="F125" s="4">
        <v>4.5999999999999996</v>
      </c>
      <c r="G125" s="4">
        <v>6</v>
      </c>
      <c r="H125" s="4">
        <v>1051</v>
      </c>
      <c r="I125" s="4">
        <v>28</v>
      </c>
      <c r="J125" s="6" t="s">
        <v>1033</v>
      </c>
      <c r="K125" s="4">
        <v>0.04</v>
      </c>
      <c r="L125" s="4">
        <v>0.01</v>
      </c>
      <c r="M125" s="4">
        <v>0.03</v>
      </c>
      <c r="N125" s="4">
        <v>0.04</v>
      </c>
      <c r="O125" s="4">
        <v>1000</v>
      </c>
      <c r="P125" s="4">
        <v>25006</v>
      </c>
    </row>
    <row r="126" spans="2:16" x14ac:dyDescent="0.3">
      <c r="B126" s="6" t="s">
        <v>1034</v>
      </c>
      <c r="C126" s="4">
        <v>3.76</v>
      </c>
      <c r="D126" s="4">
        <v>0.56000000000000005</v>
      </c>
      <c r="E126" s="4">
        <v>3.3</v>
      </c>
      <c r="F126" s="4">
        <v>3.9</v>
      </c>
      <c r="G126" s="4">
        <v>5</v>
      </c>
      <c r="H126" s="4">
        <v>37425</v>
      </c>
      <c r="I126" s="4">
        <v>29</v>
      </c>
      <c r="J126" s="6" t="s">
        <v>1035</v>
      </c>
      <c r="K126" s="4">
        <v>0.06</v>
      </c>
      <c r="L126" s="4">
        <v>-0.01</v>
      </c>
      <c r="M126" s="4">
        <v>0.05</v>
      </c>
      <c r="N126" s="4">
        <v>0.06</v>
      </c>
      <c r="O126" s="4">
        <v>656</v>
      </c>
      <c r="P126" s="4">
        <v>30970</v>
      </c>
    </row>
    <row r="127" spans="2:16" x14ac:dyDescent="0.3">
      <c r="B127" s="6" t="s">
        <v>1036</v>
      </c>
      <c r="C127" s="4" t="s">
        <v>366</v>
      </c>
      <c r="D127" s="4" t="s">
        <v>366</v>
      </c>
      <c r="E127" s="4" t="s">
        <v>366</v>
      </c>
      <c r="F127" s="4" t="s">
        <v>366</v>
      </c>
      <c r="G127" s="4" t="s">
        <v>366</v>
      </c>
      <c r="H127" s="4" t="s">
        <v>366</v>
      </c>
      <c r="I127" s="4">
        <v>29.5</v>
      </c>
      <c r="J127" s="6" t="s">
        <v>1037</v>
      </c>
      <c r="K127" s="4">
        <v>0.08</v>
      </c>
      <c r="L127" s="4">
        <v>0</v>
      </c>
      <c r="M127" s="4">
        <v>7.0000000000000007E-2</v>
      </c>
      <c r="N127" s="4">
        <v>0.09</v>
      </c>
      <c r="O127" s="4">
        <v>73</v>
      </c>
      <c r="P127" s="4">
        <v>0</v>
      </c>
    </row>
    <row r="128" spans="2:16" x14ac:dyDescent="0.3">
      <c r="B128" s="6" t="s">
        <v>1038</v>
      </c>
      <c r="C128" s="4">
        <v>2.73</v>
      </c>
      <c r="D128" s="4">
        <v>0.23</v>
      </c>
      <c r="E128" s="4">
        <v>2.62</v>
      </c>
      <c r="F128" s="4">
        <v>2.82</v>
      </c>
      <c r="G128" s="4">
        <v>10</v>
      </c>
      <c r="H128" s="4">
        <v>50933</v>
      </c>
      <c r="I128" s="4">
        <v>30</v>
      </c>
      <c r="J128" s="6" t="s">
        <v>1039</v>
      </c>
      <c r="K128" s="4">
        <v>0.1</v>
      </c>
      <c r="L128" s="4">
        <v>-0.04</v>
      </c>
      <c r="M128" s="4">
        <v>0.1</v>
      </c>
      <c r="N128" s="4">
        <v>0.12</v>
      </c>
      <c r="O128" s="4">
        <v>845</v>
      </c>
      <c r="P128" s="4">
        <v>18191</v>
      </c>
    </row>
    <row r="129" spans="2:16" x14ac:dyDescent="0.3">
      <c r="B129" s="6" t="s">
        <v>1040</v>
      </c>
      <c r="C129" s="4" t="s">
        <v>366</v>
      </c>
      <c r="D129" s="4" t="s">
        <v>366</v>
      </c>
      <c r="E129" s="4" t="s">
        <v>366</v>
      </c>
      <c r="F129" s="4" t="s">
        <v>366</v>
      </c>
      <c r="G129" s="4" t="s">
        <v>366</v>
      </c>
      <c r="H129" s="4" t="s">
        <v>366</v>
      </c>
      <c r="I129" s="4">
        <v>30.5</v>
      </c>
      <c r="J129" s="6" t="s">
        <v>1041</v>
      </c>
      <c r="K129" s="4">
        <v>0.16</v>
      </c>
      <c r="L129" s="4">
        <v>0</v>
      </c>
      <c r="M129" s="4">
        <v>0.15</v>
      </c>
      <c r="N129" s="4">
        <v>0.16</v>
      </c>
      <c r="O129" s="4">
        <v>1</v>
      </c>
      <c r="P129" s="4">
        <v>0</v>
      </c>
    </row>
    <row r="130" spans="2:16" x14ac:dyDescent="0.3">
      <c r="B130" s="6" t="s">
        <v>1042</v>
      </c>
      <c r="C130" s="4">
        <v>1.76</v>
      </c>
      <c r="D130" s="4">
        <v>0.2</v>
      </c>
      <c r="E130" s="4">
        <v>1.72</v>
      </c>
      <c r="F130" s="4">
        <v>1.76</v>
      </c>
      <c r="G130" s="4">
        <v>10582</v>
      </c>
      <c r="H130" s="4">
        <v>50261</v>
      </c>
      <c r="I130" s="4">
        <v>31</v>
      </c>
      <c r="J130" s="6" t="s">
        <v>1043</v>
      </c>
      <c r="K130" s="4">
        <v>0.22</v>
      </c>
      <c r="L130" s="4">
        <v>-0.05</v>
      </c>
      <c r="M130" s="4">
        <v>0.22</v>
      </c>
      <c r="N130" s="4">
        <v>0.24</v>
      </c>
      <c r="O130" s="4">
        <v>225</v>
      </c>
      <c r="P130" s="4">
        <v>5961</v>
      </c>
    </row>
    <row r="131" spans="2:16" x14ac:dyDescent="0.3">
      <c r="B131" s="6" t="s">
        <v>1044</v>
      </c>
      <c r="C131" s="4">
        <v>1.36</v>
      </c>
      <c r="D131" s="4">
        <v>0</v>
      </c>
      <c r="E131" s="4">
        <v>1.29</v>
      </c>
      <c r="F131" s="4">
        <v>1.33</v>
      </c>
      <c r="G131" s="4">
        <v>68</v>
      </c>
      <c r="H131" s="4">
        <v>0</v>
      </c>
      <c r="I131" s="4">
        <v>31.5</v>
      </c>
      <c r="J131" s="6" t="s">
        <v>1045</v>
      </c>
      <c r="K131" s="4">
        <v>0.31</v>
      </c>
      <c r="L131" s="4">
        <v>0</v>
      </c>
      <c r="M131" s="4">
        <v>0.33</v>
      </c>
      <c r="N131" s="4">
        <v>0.35</v>
      </c>
      <c r="O131" s="4">
        <v>204</v>
      </c>
      <c r="P131" s="4">
        <v>0</v>
      </c>
    </row>
    <row r="132" spans="2:16" x14ac:dyDescent="0.3">
      <c r="B132" s="6" t="s">
        <v>1046</v>
      </c>
      <c r="C132" s="4">
        <v>0.95</v>
      </c>
      <c r="D132" s="4">
        <v>0.15</v>
      </c>
      <c r="E132" s="4">
        <v>0.92</v>
      </c>
      <c r="F132" s="4">
        <v>0.95</v>
      </c>
      <c r="G132" s="4">
        <v>1518</v>
      </c>
      <c r="H132" s="4">
        <v>35864</v>
      </c>
      <c r="I132" s="4">
        <v>32</v>
      </c>
      <c r="J132" s="6" t="s">
        <v>1047</v>
      </c>
      <c r="K132" s="4">
        <v>0.48</v>
      </c>
      <c r="L132" s="4">
        <v>-0.09</v>
      </c>
      <c r="M132" s="4">
        <v>0.49</v>
      </c>
      <c r="N132" s="4">
        <v>0.51</v>
      </c>
      <c r="O132" s="4">
        <v>1107</v>
      </c>
      <c r="P132" s="4">
        <v>13250</v>
      </c>
    </row>
    <row r="133" spans="2:16" x14ac:dyDescent="0.3">
      <c r="B133" s="6" t="s">
        <v>1048</v>
      </c>
      <c r="C133" s="4">
        <v>0.63</v>
      </c>
      <c r="D133" s="4">
        <v>0</v>
      </c>
      <c r="E133" s="4">
        <v>0.61</v>
      </c>
      <c r="F133" s="4">
        <v>0.63</v>
      </c>
      <c r="G133" s="4">
        <v>249</v>
      </c>
      <c r="H133" s="4">
        <v>0</v>
      </c>
      <c r="I133" s="4">
        <v>32.5</v>
      </c>
      <c r="J133" s="6" t="s">
        <v>1049</v>
      </c>
      <c r="K133" s="4">
        <v>0.65</v>
      </c>
      <c r="L133" s="4">
        <v>0</v>
      </c>
      <c r="M133" s="4">
        <v>0.71</v>
      </c>
      <c r="N133" s="4">
        <v>0.73</v>
      </c>
      <c r="O133" s="4">
        <v>4532</v>
      </c>
      <c r="P133" s="4">
        <v>0</v>
      </c>
    </row>
    <row r="134" spans="2:16" x14ac:dyDescent="0.3">
      <c r="B134" s="6" t="s">
        <v>1050</v>
      </c>
      <c r="C134" s="4">
        <v>0.4</v>
      </c>
      <c r="D134" s="4">
        <v>0.08</v>
      </c>
      <c r="E134" s="4">
        <v>0.38</v>
      </c>
      <c r="F134" s="4">
        <v>0.39</v>
      </c>
      <c r="G134" s="4">
        <v>6184</v>
      </c>
      <c r="H134" s="4">
        <v>38296</v>
      </c>
      <c r="I134" s="4">
        <v>33</v>
      </c>
      <c r="J134" s="6" t="s">
        <v>1051</v>
      </c>
      <c r="K134" s="4">
        <v>1.01</v>
      </c>
      <c r="L134" s="4">
        <v>-0.2</v>
      </c>
      <c r="M134" s="4">
        <v>0.99</v>
      </c>
      <c r="N134" s="4">
        <v>1.02</v>
      </c>
      <c r="O134" s="4">
        <v>488</v>
      </c>
      <c r="P134" s="4">
        <v>20620</v>
      </c>
    </row>
    <row r="135" spans="2:16" x14ac:dyDescent="0.3">
      <c r="B135" s="6" t="s">
        <v>1052</v>
      </c>
      <c r="C135" s="4">
        <v>0.24</v>
      </c>
      <c r="D135" s="4">
        <v>0</v>
      </c>
      <c r="E135" s="4">
        <v>0.21</v>
      </c>
      <c r="F135" s="4">
        <v>0.23</v>
      </c>
      <c r="G135" s="4">
        <v>291</v>
      </c>
      <c r="H135" s="4">
        <v>0</v>
      </c>
      <c r="I135" s="4">
        <v>33.5</v>
      </c>
      <c r="J135" s="6" t="s">
        <v>1053</v>
      </c>
      <c r="K135" s="4" t="s">
        <v>366</v>
      </c>
      <c r="L135" s="4" t="s">
        <v>366</v>
      </c>
      <c r="M135" s="4" t="s">
        <v>366</v>
      </c>
      <c r="N135" s="4" t="s">
        <v>366</v>
      </c>
      <c r="O135" s="4" t="s">
        <v>366</v>
      </c>
      <c r="P135" s="4" t="s">
        <v>366</v>
      </c>
    </row>
    <row r="136" spans="2:16" x14ac:dyDescent="0.3">
      <c r="B136" s="6" t="s">
        <v>1054</v>
      </c>
      <c r="C136" s="4">
        <v>0.11</v>
      </c>
      <c r="D136" s="4">
        <v>0.03</v>
      </c>
      <c r="E136" s="4">
        <v>0.11</v>
      </c>
      <c r="F136" s="4">
        <v>0.13</v>
      </c>
      <c r="G136" s="4">
        <v>478</v>
      </c>
      <c r="H136" s="4">
        <v>8202</v>
      </c>
      <c r="I136" s="4">
        <v>34</v>
      </c>
      <c r="J136" s="6" t="s">
        <v>1055</v>
      </c>
      <c r="K136" s="4">
        <v>1.67</v>
      </c>
      <c r="L136" s="4">
        <v>-0.19</v>
      </c>
      <c r="M136" s="4">
        <v>1.75</v>
      </c>
      <c r="N136" s="4">
        <v>1.8</v>
      </c>
      <c r="O136" s="4">
        <v>72</v>
      </c>
      <c r="P136" s="4">
        <v>350</v>
      </c>
    </row>
    <row r="137" spans="2:16" x14ac:dyDescent="0.3">
      <c r="B137" s="6" t="s">
        <v>1056</v>
      </c>
      <c r="C137" s="4">
        <v>0.05</v>
      </c>
      <c r="D137" s="4">
        <v>0.02</v>
      </c>
      <c r="E137" s="4">
        <v>0.03</v>
      </c>
      <c r="F137" s="4">
        <v>0.04</v>
      </c>
      <c r="G137" s="4">
        <v>16</v>
      </c>
      <c r="H137" s="4">
        <v>2007</v>
      </c>
      <c r="I137" s="4">
        <v>35</v>
      </c>
      <c r="J137" s="6" t="s">
        <v>1057</v>
      </c>
      <c r="K137" s="4">
        <v>2.66</v>
      </c>
      <c r="L137" s="4">
        <v>-0.21</v>
      </c>
      <c r="M137" s="4">
        <v>2.66</v>
      </c>
      <c r="N137" s="4">
        <v>3.05</v>
      </c>
      <c r="O137" s="4">
        <v>1</v>
      </c>
      <c r="P137" s="4">
        <v>143</v>
      </c>
    </row>
    <row r="138" spans="2:16" x14ac:dyDescent="0.3">
      <c r="B138" s="6" t="s">
        <v>1058</v>
      </c>
      <c r="C138" s="4">
        <v>0.08</v>
      </c>
      <c r="D138" s="4">
        <v>0.05</v>
      </c>
      <c r="E138" s="4">
        <v>7.0000000000000007E-2</v>
      </c>
      <c r="F138" s="4">
        <v>0.08</v>
      </c>
      <c r="G138" s="4">
        <v>2021</v>
      </c>
      <c r="H138" s="4">
        <v>143</v>
      </c>
      <c r="I138" s="4">
        <v>36</v>
      </c>
      <c r="J138" s="6" t="s">
        <v>1059</v>
      </c>
      <c r="K138" s="4">
        <v>0</v>
      </c>
      <c r="L138" s="4">
        <v>0</v>
      </c>
      <c r="M138" s="4">
        <v>6.2</v>
      </c>
      <c r="N138" s="4">
        <v>6.85</v>
      </c>
      <c r="O138" s="4">
        <v>0</v>
      </c>
      <c r="P138" s="4">
        <v>0</v>
      </c>
    </row>
    <row r="139" spans="2:16" x14ac:dyDescent="0.3">
      <c r="B139" s="6" t="s">
        <v>1060</v>
      </c>
      <c r="C139" s="4">
        <v>0.03</v>
      </c>
      <c r="D139" s="4">
        <v>0.02</v>
      </c>
      <c r="E139" s="4">
        <v>0.03</v>
      </c>
      <c r="F139" s="4">
        <v>0.05</v>
      </c>
      <c r="G139" s="4">
        <v>5</v>
      </c>
      <c r="H139" s="4">
        <v>59</v>
      </c>
      <c r="I139" s="4">
        <v>37</v>
      </c>
      <c r="J139" s="6" t="s">
        <v>1061</v>
      </c>
      <c r="K139" s="4">
        <v>0</v>
      </c>
      <c r="L139" s="4">
        <v>0</v>
      </c>
      <c r="M139" s="4">
        <v>7.2</v>
      </c>
      <c r="N139" s="4">
        <v>7.8</v>
      </c>
      <c r="O139" s="4">
        <v>0</v>
      </c>
      <c r="P139" s="4">
        <v>0</v>
      </c>
    </row>
    <row r="140" spans="2:16" x14ac:dyDescent="0.3">
      <c r="B140" s="6" t="s">
        <v>1062</v>
      </c>
      <c r="C140" s="4">
        <v>0</v>
      </c>
      <c r="D140" s="4">
        <v>0</v>
      </c>
      <c r="E140" s="4">
        <v>0</v>
      </c>
      <c r="F140" s="4">
        <v>0.03</v>
      </c>
      <c r="G140" s="4">
        <v>0</v>
      </c>
      <c r="H140" s="4">
        <v>0</v>
      </c>
      <c r="I140" s="4">
        <v>38</v>
      </c>
      <c r="J140" s="6" t="s">
        <v>1063</v>
      </c>
      <c r="K140" s="4">
        <v>0</v>
      </c>
      <c r="L140" s="4">
        <v>0</v>
      </c>
      <c r="M140" s="4">
        <v>8.35</v>
      </c>
      <c r="N140" s="4">
        <v>8.9499999999999993</v>
      </c>
      <c r="O140" s="4">
        <v>0</v>
      </c>
      <c r="P140" s="4">
        <v>0</v>
      </c>
    </row>
    <row r="141" spans="2:16" x14ac:dyDescent="0.3">
      <c r="B141" s="6" t="s">
        <v>1064</v>
      </c>
      <c r="C141" s="4">
        <v>0</v>
      </c>
      <c r="D141" s="4">
        <v>0</v>
      </c>
      <c r="E141" s="4">
        <v>0</v>
      </c>
      <c r="F141" s="4">
        <v>0.03</v>
      </c>
      <c r="G141" s="4">
        <v>0</v>
      </c>
      <c r="H141" s="4">
        <v>0</v>
      </c>
      <c r="I141" s="4">
        <v>39</v>
      </c>
      <c r="J141" s="6" t="s">
        <v>1065</v>
      </c>
      <c r="K141" s="4">
        <v>0</v>
      </c>
      <c r="L141" s="4">
        <v>0</v>
      </c>
      <c r="M141" s="4">
        <v>9.35</v>
      </c>
      <c r="N141" s="4">
        <v>9.9499999999999993</v>
      </c>
      <c r="O141" s="4">
        <v>0</v>
      </c>
      <c r="P141" s="4">
        <v>0</v>
      </c>
    </row>
    <row r="142" spans="2:16" x14ac:dyDescent="0.3">
      <c r="B142" s="6" t="s">
        <v>1066</v>
      </c>
      <c r="C142" s="4" t="s">
        <v>366</v>
      </c>
      <c r="D142" s="4" t="s">
        <v>366</v>
      </c>
      <c r="E142" s="4" t="s">
        <v>366</v>
      </c>
      <c r="F142" s="4" t="s">
        <v>366</v>
      </c>
      <c r="G142" s="4" t="s">
        <v>366</v>
      </c>
      <c r="H142" s="4" t="s">
        <v>366</v>
      </c>
      <c r="I142" s="4">
        <v>27.5</v>
      </c>
      <c r="J142" s="6" t="s">
        <v>1067</v>
      </c>
      <c r="K142" s="4">
        <v>0.05</v>
      </c>
      <c r="L142" s="4">
        <v>0</v>
      </c>
      <c r="M142" s="4">
        <v>0</v>
      </c>
      <c r="N142" s="4">
        <v>0.09</v>
      </c>
      <c r="O142" s="4">
        <v>2</v>
      </c>
      <c r="P142" s="4">
        <v>3</v>
      </c>
    </row>
    <row r="143" spans="2:16" x14ac:dyDescent="0.3">
      <c r="B143" s="6" t="s">
        <v>1068</v>
      </c>
      <c r="C143" s="4" t="s">
        <v>366</v>
      </c>
      <c r="D143" s="4" t="s">
        <v>366</v>
      </c>
      <c r="E143" s="4" t="s">
        <v>366</v>
      </c>
      <c r="F143" s="4" t="s">
        <v>366</v>
      </c>
      <c r="G143" s="4" t="s">
        <v>366</v>
      </c>
      <c r="H143" s="4" t="s">
        <v>366</v>
      </c>
      <c r="I143" s="4">
        <v>29.5</v>
      </c>
      <c r="J143" s="6" t="s">
        <v>1069</v>
      </c>
      <c r="K143" s="4">
        <v>0.22</v>
      </c>
      <c r="L143" s="4">
        <v>0</v>
      </c>
      <c r="M143" s="4">
        <v>0</v>
      </c>
      <c r="N143" s="4">
        <v>0.17</v>
      </c>
      <c r="O143" s="4">
        <v>14</v>
      </c>
      <c r="P143" s="4">
        <v>103</v>
      </c>
    </row>
    <row r="144" spans="2:16" x14ac:dyDescent="0.3">
      <c r="B144" s="6" t="s">
        <v>1070</v>
      </c>
      <c r="C144" s="4" t="s">
        <v>366</v>
      </c>
      <c r="D144" s="4" t="s">
        <v>366</v>
      </c>
      <c r="E144" s="4" t="s">
        <v>366</v>
      </c>
      <c r="F144" s="4" t="s">
        <v>366</v>
      </c>
      <c r="G144" s="4" t="s">
        <v>366</v>
      </c>
      <c r="H144" s="4" t="s">
        <v>366</v>
      </c>
      <c r="I144" s="4">
        <v>30</v>
      </c>
      <c r="J144" s="6" t="s">
        <v>1071</v>
      </c>
      <c r="K144" s="4">
        <v>0.2</v>
      </c>
      <c r="L144" s="4">
        <v>0</v>
      </c>
      <c r="M144" s="4">
        <v>0.12</v>
      </c>
      <c r="N144" s="4">
        <v>0.2</v>
      </c>
      <c r="O144" s="4">
        <v>121</v>
      </c>
      <c r="P144" s="4">
        <v>123</v>
      </c>
    </row>
    <row r="145" spans="2:16" x14ac:dyDescent="0.3">
      <c r="B145" s="6" t="s">
        <v>1072</v>
      </c>
      <c r="C145" s="4" t="s">
        <v>366</v>
      </c>
      <c r="D145" s="4" t="s">
        <v>366</v>
      </c>
      <c r="E145" s="4" t="s">
        <v>366</v>
      </c>
      <c r="F145" s="4" t="s">
        <v>366</v>
      </c>
      <c r="G145" s="4" t="s">
        <v>366</v>
      </c>
      <c r="H145" s="4" t="s">
        <v>366</v>
      </c>
      <c r="I145" s="4">
        <v>30.5</v>
      </c>
      <c r="J145" s="6" t="s">
        <v>1073</v>
      </c>
      <c r="K145" s="4">
        <v>0.2</v>
      </c>
      <c r="L145" s="4">
        <v>0</v>
      </c>
      <c r="M145" s="4">
        <v>0.19</v>
      </c>
      <c r="N145" s="4">
        <v>0.25</v>
      </c>
      <c r="O145" s="4">
        <v>9</v>
      </c>
      <c r="P145" s="4">
        <v>14</v>
      </c>
    </row>
    <row r="146" spans="2:16" x14ac:dyDescent="0.3">
      <c r="B146" s="6" t="s">
        <v>1074</v>
      </c>
      <c r="C146" s="4" t="s">
        <v>366</v>
      </c>
      <c r="D146" s="4" t="s">
        <v>366</v>
      </c>
      <c r="E146" s="4" t="s">
        <v>366</v>
      </c>
      <c r="F146" s="4" t="s">
        <v>366</v>
      </c>
      <c r="G146" s="4" t="s">
        <v>366</v>
      </c>
      <c r="H146" s="4" t="s">
        <v>366</v>
      </c>
      <c r="I146" s="4">
        <v>31</v>
      </c>
      <c r="J146" s="6" t="s">
        <v>1075</v>
      </c>
      <c r="K146" s="4">
        <v>0.27</v>
      </c>
      <c r="L146" s="4">
        <v>-0.04</v>
      </c>
      <c r="M146" s="4">
        <v>0.25</v>
      </c>
      <c r="N146" s="4">
        <v>0.28999999999999998</v>
      </c>
      <c r="O146" s="4">
        <v>5</v>
      </c>
      <c r="P146" s="4">
        <v>23</v>
      </c>
    </row>
    <row r="147" spans="2:16" x14ac:dyDescent="0.3">
      <c r="B147" s="6" t="s">
        <v>1076</v>
      </c>
      <c r="C147" s="4">
        <v>1.25</v>
      </c>
      <c r="D147" s="4">
        <v>-0.14000000000000001</v>
      </c>
      <c r="E147" s="4">
        <v>1.17</v>
      </c>
      <c r="F147" s="4">
        <v>1.53</v>
      </c>
      <c r="G147" s="4">
        <v>4</v>
      </c>
      <c r="H147" s="4">
        <v>2</v>
      </c>
      <c r="I147" s="4">
        <v>31.5</v>
      </c>
      <c r="J147" s="6" t="s">
        <v>1077</v>
      </c>
      <c r="K147" s="4">
        <v>0.39</v>
      </c>
      <c r="L147" s="4">
        <v>-0.06</v>
      </c>
      <c r="M147" s="4">
        <v>0.38</v>
      </c>
      <c r="N147" s="4">
        <v>0.39</v>
      </c>
      <c r="O147" s="4">
        <v>17</v>
      </c>
      <c r="P147" s="4">
        <v>50</v>
      </c>
    </row>
    <row r="148" spans="2:16" x14ac:dyDescent="0.3">
      <c r="B148" s="6" t="s">
        <v>1078</v>
      </c>
      <c r="C148" s="4">
        <v>0.79</v>
      </c>
      <c r="D148" s="4">
        <v>-0.14000000000000001</v>
      </c>
      <c r="E148" s="4">
        <v>0.95</v>
      </c>
      <c r="F148" s="4">
        <v>1.19</v>
      </c>
      <c r="G148" s="4">
        <v>4</v>
      </c>
      <c r="H148" s="4">
        <v>24</v>
      </c>
      <c r="I148" s="4">
        <v>32</v>
      </c>
      <c r="J148" s="6" t="s">
        <v>1079</v>
      </c>
      <c r="K148" s="4">
        <v>0.64</v>
      </c>
      <c r="L148" s="4">
        <v>0</v>
      </c>
      <c r="M148" s="4">
        <v>0.56999999999999995</v>
      </c>
      <c r="N148" s="4">
        <v>0.72</v>
      </c>
      <c r="O148" s="4">
        <v>5</v>
      </c>
      <c r="P148" s="4">
        <v>0</v>
      </c>
    </row>
    <row r="149" spans="2:16" x14ac:dyDescent="0.3">
      <c r="B149" s="6" t="s">
        <v>1080</v>
      </c>
      <c r="C149" s="4">
        <v>0.74</v>
      </c>
      <c r="D149" s="4">
        <v>0.15</v>
      </c>
      <c r="E149" s="4">
        <v>0.65</v>
      </c>
      <c r="F149" s="4">
        <v>0.74</v>
      </c>
      <c r="G149" s="4">
        <v>7</v>
      </c>
      <c r="H149" s="4">
        <v>1637</v>
      </c>
      <c r="I149" s="4">
        <v>32.5</v>
      </c>
      <c r="J149" s="6" t="s">
        <v>1081</v>
      </c>
      <c r="K149" s="4">
        <v>0.71</v>
      </c>
      <c r="L149" s="4">
        <v>0</v>
      </c>
      <c r="M149" s="4">
        <v>0.8</v>
      </c>
      <c r="N149" s="4">
        <v>0.98</v>
      </c>
      <c r="O149" s="4">
        <v>299</v>
      </c>
      <c r="P149" s="4">
        <v>15</v>
      </c>
    </row>
    <row r="150" spans="2:16" x14ac:dyDescent="0.3">
      <c r="B150" s="6" t="s">
        <v>1082</v>
      </c>
      <c r="C150" s="4">
        <v>0.38</v>
      </c>
      <c r="D150" s="4">
        <v>-0.04</v>
      </c>
      <c r="E150" s="4">
        <v>0.34</v>
      </c>
      <c r="F150" s="4">
        <v>0.41</v>
      </c>
      <c r="G150" s="4">
        <v>7</v>
      </c>
      <c r="H150" s="4">
        <v>1600</v>
      </c>
      <c r="I150" s="4">
        <v>33</v>
      </c>
      <c r="J150" s="6" t="s">
        <v>1083</v>
      </c>
      <c r="K150" s="4">
        <v>1.17</v>
      </c>
      <c r="L150" s="4">
        <v>0</v>
      </c>
      <c r="M150" s="4">
        <v>1.07</v>
      </c>
      <c r="N150" s="4">
        <v>1.31</v>
      </c>
      <c r="O150" s="4">
        <v>38</v>
      </c>
      <c r="P150" s="4">
        <v>88</v>
      </c>
    </row>
    <row r="151" spans="2:16" x14ac:dyDescent="0.3">
      <c r="B151" s="6" t="s">
        <v>1084</v>
      </c>
      <c r="C151" s="4">
        <v>0.3</v>
      </c>
      <c r="D151" s="4">
        <v>0.11</v>
      </c>
      <c r="E151" s="4">
        <v>0.24</v>
      </c>
      <c r="F151" s="4">
        <v>0.28000000000000003</v>
      </c>
      <c r="G151" s="4">
        <v>220</v>
      </c>
      <c r="H151" s="4">
        <v>866</v>
      </c>
      <c r="I151" s="4">
        <v>33.5</v>
      </c>
      <c r="J151" s="6" t="s">
        <v>1085</v>
      </c>
      <c r="K151" s="4" t="s">
        <v>366</v>
      </c>
      <c r="L151" s="4" t="s">
        <v>366</v>
      </c>
      <c r="M151" s="4" t="s">
        <v>366</v>
      </c>
      <c r="N151" s="4" t="s">
        <v>366</v>
      </c>
      <c r="O151" s="4" t="s">
        <v>366</v>
      </c>
      <c r="P151" s="4" t="s">
        <v>366</v>
      </c>
    </row>
    <row r="152" spans="2:16" x14ac:dyDescent="0.3">
      <c r="B152" s="6" t="s">
        <v>1086</v>
      </c>
      <c r="C152" s="4">
        <v>0.16</v>
      </c>
      <c r="D152" s="4">
        <v>-0.15</v>
      </c>
      <c r="E152" s="4">
        <v>0.13</v>
      </c>
      <c r="F152" s="4">
        <v>0.18</v>
      </c>
      <c r="G152" s="4">
        <v>19</v>
      </c>
      <c r="H152" s="4">
        <v>342</v>
      </c>
      <c r="I152" s="4">
        <v>34</v>
      </c>
      <c r="J152" s="6" t="s">
        <v>1087</v>
      </c>
      <c r="K152" s="4" t="s">
        <v>366</v>
      </c>
      <c r="L152" s="4" t="s">
        <v>366</v>
      </c>
      <c r="M152" s="4" t="s">
        <v>366</v>
      </c>
      <c r="N152" s="4" t="s">
        <v>366</v>
      </c>
      <c r="O152" s="4" t="s">
        <v>366</v>
      </c>
      <c r="P152" s="4" t="s">
        <v>366</v>
      </c>
    </row>
    <row r="153" spans="2:16" x14ac:dyDescent="0.3">
      <c r="B153" s="6" t="s">
        <v>1088</v>
      </c>
      <c r="C153" s="4">
        <v>13.2</v>
      </c>
      <c r="D153" s="4">
        <v>0</v>
      </c>
      <c r="E153" s="4">
        <v>12.45</v>
      </c>
      <c r="F153" s="4">
        <v>15.95</v>
      </c>
      <c r="G153" s="4">
        <v>0</v>
      </c>
      <c r="H153" s="4">
        <v>10</v>
      </c>
      <c r="I153" s="4">
        <v>16</v>
      </c>
      <c r="J153" s="6" t="s">
        <v>1089</v>
      </c>
      <c r="K153" s="4">
        <v>0.01</v>
      </c>
      <c r="L153" s="4">
        <v>0</v>
      </c>
      <c r="M153" s="4">
        <v>0</v>
      </c>
      <c r="N153" s="4">
        <v>0.02</v>
      </c>
      <c r="O153" s="4">
        <v>18</v>
      </c>
      <c r="P153" s="4">
        <v>54</v>
      </c>
    </row>
    <row r="154" spans="2:16" x14ac:dyDescent="0.3">
      <c r="B154" s="6" t="s">
        <v>1090</v>
      </c>
      <c r="C154" s="4">
        <v>0</v>
      </c>
      <c r="D154" s="4">
        <v>0</v>
      </c>
      <c r="E154" s="4">
        <v>11</v>
      </c>
      <c r="F154" s="4">
        <v>13.15</v>
      </c>
      <c r="G154" s="4">
        <v>0</v>
      </c>
      <c r="H154" s="4">
        <v>0</v>
      </c>
      <c r="I154" s="4">
        <v>17</v>
      </c>
      <c r="J154" s="6" t="s">
        <v>1091</v>
      </c>
      <c r="K154" s="4">
        <v>0.02</v>
      </c>
      <c r="L154" s="4">
        <v>0</v>
      </c>
      <c r="M154" s="4">
        <v>0</v>
      </c>
      <c r="N154" s="4">
        <v>0.03</v>
      </c>
      <c r="O154" s="4">
        <v>10</v>
      </c>
      <c r="P154" s="4">
        <v>96</v>
      </c>
    </row>
    <row r="155" spans="2:16" x14ac:dyDescent="0.3">
      <c r="B155" s="6" t="s">
        <v>1092</v>
      </c>
      <c r="C155" s="4">
        <v>0</v>
      </c>
      <c r="D155" s="4">
        <v>0</v>
      </c>
      <c r="E155" s="4">
        <v>11.35</v>
      </c>
      <c r="F155" s="4">
        <v>11.9</v>
      </c>
      <c r="G155" s="4">
        <v>0</v>
      </c>
      <c r="H155" s="4">
        <v>0</v>
      </c>
      <c r="I155" s="4">
        <v>18</v>
      </c>
      <c r="J155" s="6" t="s">
        <v>1093</v>
      </c>
      <c r="K155" s="4">
        <v>0.02</v>
      </c>
      <c r="L155" s="4">
        <v>0</v>
      </c>
      <c r="M155" s="4">
        <v>0</v>
      </c>
      <c r="N155" s="4">
        <v>0.03</v>
      </c>
      <c r="O155" s="4">
        <v>11</v>
      </c>
      <c r="P155" s="4">
        <v>521</v>
      </c>
    </row>
    <row r="156" spans="2:16" x14ac:dyDescent="0.3">
      <c r="B156" s="6" t="s">
        <v>1094</v>
      </c>
      <c r="C156" s="4">
        <v>0</v>
      </c>
      <c r="D156" s="4">
        <v>0</v>
      </c>
      <c r="E156" s="4">
        <v>10.35</v>
      </c>
      <c r="F156" s="4">
        <v>10.9</v>
      </c>
      <c r="G156" s="4">
        <v>0</v>
      </c>
      <c r="H156" s="4">
        <v>0</v>
      </c>
      <c r="I156" s="4">
        <v>19</v>
      </c>
      <c r="J156" s="6" t="s">
        <v>1095</v>
      </c>
      <c r="K156" s="4">
        <v>0.02</v>
      </c>
      <c r="L156" s="4">
        <v>0</v>
      </c>
      <c r="M156" s="4">
        <v>0</v>
      </c>
      <c r="N156" s="4">
        <v>0.04</v>
      </c>
      <c r="O156" s="4">
        <v>129</v>
      </c>
      <c r="P156" s="4">
        <v>239</v>
      </c>
    </row>
    <row r="157" spans="2:16" x14ac:dyDescent="0.3">
      <c r="B157" s="6" t="s">
        <v>1096</v>
      </c>
      <c r="C157" s="4">
        <v>11.5</v>
      </c>
      <c r="D157" s="4">
        <v>0</v>
      </c>
      <c r="E157" s="4">
        <v>10.85</v>
      </c>
      <c r="F157" s="4">
        <v>14.9</v>
      </c>
      <c r="G157" s="4">
        <v>40</v>
      </c>
      <c r="H157" s="4">
        <v>20</v>
      </c>
      <c r="I157" s="4">
        <v>20</v>
      </c>
      <c r="J157" s="6" t="s">
        <v>1097</v>
      </c>
      <c r="K157" s="4">
        <v>0.18</v>
      </c>
      <c r="L157" s="4">
        <v>0</v>
      </c>
      <c r="M157" s="4">
        <v>0.01</v>
      </c>
      <c r="N157" s="4">
        <v>0.04</v>
      </c>
      <c r="O157" s="4">
        <v>0</v>
      </c>
      <c r="P157" s="4">
        <v>49</v>
      </c>
    </row>
    <row r="158" spans="2:16" x14ac:dyDescent="0.3">
      <c r="B158" s="6" t="s">
        <v>1098</v>
      </c>
      <c r="C158" s="4">
        <v>0</v>
      </c>
      <c r="D158" s="4">
        <v>0</v>
      </c>
      <c r="E158" s="4">
        <v>8.35</v>
      </c>
      <c r="F158" s="4">
        <v>9.1</v>
      </c>
      <c r="G158" s="4">
        <v>0</v>
      </c>
      <c r="H158" s="4">
        <v>0</v>
      </c>
      <c r="I158" s="4">
        <v>21</v>
      </c>
      <c r="J158" s="6" t="s">
        <v>1099</v>
      </c>
      <c r="K158" s="4">
        <v>0.14000000000000001</v>
      </c>
      <c r="L158" s="4">
        <v>0</v>
      </c>
      <c r="M158" s="4">
        <v>0.01</v>
      </c>
      <c r="N158" s="4">
        <v>0.05</v>
      </c>
      <c r="O158" s="4">
        <v>0</v>
      </c>
      <c r="P158" s="4">
        <v>56</v>
      </c>
    </row>
    <row r="159" spans="2:16" x14ac:dyDescent="0.3">
      <c r="B159" s="6" t="s">
        <v>1100</v>
      </c>
      <c r="C159" s="4">
        <v>0</v>
      </c>
      <c r="D159" s="4">
        <v>0</v>
      </c>
      <c r="E159" s="4">
        <v>7.05</v>
      </c>
      <c r="F159" s="4">
        <v>8.1</v>
      </c>
      <c r="G159" s="4">
        <v>0</v>
      </c>
      <c r="H159" s="4">
        <v>0</v>
      </c>
      <c r="I159" s="4">
        <v>22</v>
      </c>
      <c r="J159" s="6" t="s">
        <v>1101</v>
      </c>
      <c r="K159" s="4">
        <v>0.03</v>
      </c>
      <c r="L159" s="4">
        <v>-0.04</v>
      </c>
      <c r="M159" s="4">
        <v>0.02</v>
      </c>
      <c r="N159" s="4">
        <v>0.05</v>
      </c>
      <c r="O159" s="4">
        <v>1500</v>
      </c>
      <c r="P159" s="4">
        <v>70</v>
      </c>
    </row>
    <row r="160" spans="2:16" x14ac:dyDescent="0.3">
      <c r="B160" s="6" t="s">
        <v>1102</v>
      </c>
      <c r="C160" s="4">
        <v>7.15</v>
      </c>
      <c r="D160" s="4">
        <v>0</v>
      </c>
      <c r="E160" s="4">
        <v>6.1</v>
      </c>
      <c r="F160" s="4">
        <v>7.3</v>
      </c>
      <c r="G160" s="4">
        <v>5</v>
      </c>
      <c r="H160" s="4">
        <v>17</v>
      </c>
      <c r="I160" s="4">
        <v>23</v>
      </c>
      <c r="J160" s="6" t="s">
        <v>1103</v>
      </c>
      <c r="K160" s="4">
        <v>0.02</v>
      </c>
      <c r="L160" s="4">
        <v>0</v>
      </c>
      <c r="M160" s="4">
        <v>0.03</v>
      </c>
      <c r="N160" s="4">
        <v>0.05</v>
      </c>
      <c r="O160" s="4">
        <v>25</v>
      </c>
      <c r="P160" s="4">
        <v>25194</v>
      </c>
    </row>
    <row r="161" spans="2:16" x14ac:dyDescent="0.3">
      <c r="B161" s="6" t="s">
        <v>1104</v>
      </c>
      <c r="C161" s="4">
        <v>4.9000000000000004</v>
      </c>
      <c r="D161" s="4">
        <v>0</v>
      </c>
      <c r="E161" s="4">
        <v>5.85</v>
      </c>
      <c r="F161" s="4">
        <v>6.65</v>
      </c>
      <c r="G161" s="4">
        <v>1</v>
      </c>
      <c r="H161" s="4">
        <v>3</v>
      </c>
      <c r="I161" s="4">
        <v>24</v>
      </c>
      <c r="J161" s="6" t="s">
        <v>1105</v>
      </c>
      <c r="K161" s="4">
        <v>0.03</v>
      </c>
      <c r="L161" s="4">
        <v>-0.02</v>
      </c>
      <c r="M161" s="4">
        <v>0.01</v>
      </c>
      <c r="N161" s="4">
        <v>0.03</v>
      </c>
      <c r="O161" s="4">
        <v>47</v>
      </c>
      <c r="P161" s="4">
        <v>11515</v>
      </c>
    </row>
    <row r="162" spans="2:16" x14ac:dyDescent="0.3">
      <c r="B162" s="6" t="s">
        <v>1106</v>
      </c>
      <c r="C162" s="4">
        <v>6.85</v>
      </c>
      <c r="D162" s="4">
        <v>0</v>
      </c>
      <c r="E162" s="4">
        <v>7.25</v>
      </c>
      <c r="F162" s="4">
        <v>7.85</v>
      </c>
      <c r="G162" s="4">
        <v>2</v>
      </c>
      <c r="H162" s="4">
        <v>146</v>
      </c>
      <c r="I162" s="4">
        <v>25</v>
      </c>
      <c r="J162" s="6" t="s">
        <v>1107</v>
      </c>
      <c r="K162" s="4">
        <v>0.03</v>
      </c>
      <c r="L162" s="4">
        <v>0</v>
      </c>
      <c r="M162" s="4">
        <v>0.01</v>
      </c>
      <c r="N162" s="4">
        <v>0.03</v>
      </c>
      <c r="O162" s="4">
        <v>1</v>
      </c>
      <c r="P162" s="4">
        <v>5979</v>
      </c>
    </row>
    <row r="163" spans="2:16" x14ac:dyDescent="0.3">
      <c r="B163" s="6" t="s">
        <v>1108</v>
      </c>
      <c r="C163" s="4">
        <v>3.2</v>
      </c>
      <c r="D163" s="4">
        <v>0</v>
      </c>
      <c r="E163" s="4">
        <v>3.95</v>
      </c>
      <c r="F163" s="4">
        <v>4.7</v>
      </c>
      <c r="G163" s="4">
        <v>0</v>
      </c>
      <c r="H163" s="4">
        <v>47</v>
      </c>
      <c r="I163" s="4">
        <v>26</v>
      </c>
      <c r="J163" s="6" t="s">
        <v>1109</v>
      </c>
      <c r="K163" s="4">
        <v>0.02</v>
      </c>
      <c r="L163" s="4">
        <v>-0.02</v>
      </c>
      <c r="M163" s="4">
        <v>0.03</v>
      </c>
      <c r="N163" s="4">
        <v>0.04</v>
      </c>
      <c r="O163" s="4">
        <v>135</v>
      </c>
      <c r="P163" s="4">
        <v>921</v>
      </c>
    </row>
    <row r="164" spans="2:16" x14ac:dyDescent="0.3">
      <c r="B164" s="6" t="s">
        <v>1110</v>
      </c>
      <c r="C164" s="4">
        <v>5.28</v>
      </c>
      <c r="D164" s="4">
        <v>0</v>
      </c>
      <c r="E164" s="4">
        <v>5.3</v>
      </c>
      <c r="F164" s="4">
        <v>5.85</v>
      </c>
      <c r="G164" s="4">
        <v>3</v>
      </c>
      <c r="H164" s="4">
        <v>125</v>
      </c>
      <c r="I164" s="4">
        <v>27</v>
      </c>
      <c r="J164" s="6" t="s">
        <v>1111</v>
      </c>
      <c r="K164" s="4">
        <v>0.06</v>
      </c>
      <c r="L164" s="4">
        <v>0.01</v>
      </c>
      <c r="M164" s="4">
        <v>0.04</v>
      </c>
      <c r="N164" s="4">
        <v>0.06</v>
      </c>
      <c r="O164" s="4">
        <v>12</v>
      </c>
      <c r="P164" s="4">
        <v>5416</v>
      </c>
    </row>
    <row r="165" spans="2:16" x14ac:dyDescent="0.3">
      <c r="B165" s="6" t="s">
        <v>1112</v>
      </c>
      <c r="C165" s="4">
        <v>4.3</v>
      </c>
      <c r="D165" s="4">
        <v>0</v>
      </c>
      <c r="E165" s="4">
        <v>4.3</v>
      </c>
      <c r="F165" s="4">
        <v>4.8499999999999996</v>
      </c>
      <c r="G165" s="4">
        <v>2</v>
      </c>
      <c r="H165" s="4">
        <v>297</v>
      </c>
      <c r="I165" s="4">
        <v>28</v>
      </c>
      <c r="J165" s="6" t="s">
        <v>1113</v>
      </c>
      <c r="K165" s="4">
        <v>0.08</v>
      </c>
      <c r="L165" s="4">
        <v>0</v>
      </c>
      <c r="M165" s="4">
        <v>7.0000000000000007E-2</v>
      </c>
      <c r="N165" s="4">
        <v>0.09</v>
      </c>
      <c r="O165" s="4">
        <v>40</v>
      </c>
      <c r="P165" s="4">
        <v>20507</v>
      </c>
    </row>
    <row r="166" spans="2:16" x14ac:dyDescent="0.3">
      <c r="B166" s="6" t="s">
        <v>1114</v>
      </c>
      <c r="C166" s="4">
        <v>3.55</v>
      </c>
      <c r="D166" s="4">
        <v>0</v>
      </c>
      <c r="E166" s="4">
        <v>3.35</v>
      </c>
      <c r="F166" s="4">
        <v>3.6</v>
      </c>
      <c r="G166" s="4">
        <v>20</v>
      </c>
      <c r="H166" s="4">
        <v>37736</v>
      </c>
      <c r="I166" s="4">
        <v>29</v>
      </c>
      <c r="J166" s="6" t="s">
        <v>1115</v>
      </c>
      <c r="K166" s="4">
        <v>0.13</v>
      </c>
      <c r="L166" s="4">
        <v>-0.02</v>
      </c>
      <c r="M166" s="4">
        <v>0.12</v>
      </c>
      <c r="N166" s="4">
        <v>0.13</v>
      </c>
      <c r="O166" s="4">
        <v>332</v>
      </c>
      <c r="P166" s="4">
        <v>19091</v>
      </c>
    </row>
    <row r="167" spans="2:16" x14ac:dyDescent="0.3">
      <c r="B167" s="6" t="s">
        <v>1116</v>
      </c>
      <c r="C167" s="4">
        <v>2.75</v>
      </c>
      <c r="D167" s="4">
        <v>0.24</v>
      </c>
      <c r="E167" s="4">
        <v>2.68</v>
      </c>
      <c r="F167" s="4">
        <v>2.8</v>
      </c>
      <c r="G167" s="4">
        <v>31</v>
      </c>
      <c r="H167" s="4">
        <v>125135</v>
      </c>
      <c r="I167" s="4">
        <v>30</v>
      </c>
      <c r="J167" s="6" t="s">
        <v>1117</v>
      </c>
      <c r="K167" s="4">
        <v>0.22</v>
      </c>
      <c r="L167" s="4">
        <v>-0.04</v>
      </c>
      <c r="M167" s="4">
        <v>0.21</v>
      </c>
      <c r="N167" s="4">
        <v>0.23</v>
      </c>
      <c r="O167" s="4">
        <v>73</v>
      </c>
      <c r="P167" s="4">
        <v>14001</v>
      </c>
    </row>
    <row r="168" spans="2:16" x14ac:dyDescent="0.3">
      <c r="B168" s="6" t="s">
        <v>1118</v>
      </c>
      <c r="C168" s="4">
        <v>1.87</v>
      </c>
      <c r="D168" s="4">
        <v>0.21</v>
      </c>
      <c r="E168" s="4">
        <v>1.81</v>
      </c>
      <c r="F168" s="4">
        <v>1.84</v>
      </c>
      <c r="G168" s="4">
        <v>34</v>
      </c>
      <c r="H168" s="4">
        <v>57564</v>
      </c>
      <c r="I168" s="4">
        <v>31</v>
      </c>
      <c r="J168" s="6" t="s">
        <v>1119</v>
      </c>
      <c r="K168" s="4">
        <v>0.38</v>
      </c>
      <c r="L168" s="4">
        <v>-0.09</v>
      </c>
      <c r="M168" s="4">
        <v>0.38</v>
      </c>
      <c r="N168" s="4">
        <v>0.4</v>
      </c>
      <c r="O168" s="4">
        <v>549</v>
      </c>
      <c r="P168" s="4">
        <v>9018</v>
      </c>
    </row>
    <row r="169" spans="2:16" x14ac:dyDescent="0.3">
      <c r="B169" s="6" t="s">
        <v>1120</v>
      </c>
      <c r="C169" s="4">
        <v>1.1299999999999999</v>
      </c>
      <c r="D169" s="4">
        <v>0.16</v>
      </c>
      <c r="E169" s="4">
        <v>1.07</v>
      </c>
      <c r="F169" s="4">
        <v>1.1000000000000001</v>
      </c>
      <c r="G169" s="4">
        <v>358</v>
      </c>
      <c r="H169" s="4">
        <v>28999</v>
      </c>
      <c r="I169" s="4">
        <v>32</v>
      </c>
      <c r="J169" s="6" t="s">
        <v>1121</v>
      </c>
      <c r="K169" s="4">
        <v>0.69</v>
      </c>
      <c r="L169" s="4">
        <v>-0.08</v>
      </c>
      <c r="M169" s="4">
        <v>0.69</v>
      </c>
      <c r="N169" s="4">
        <v>0.71</v>
      </c>
      <c r="O169" s="4">
        <v>981</v>
      </c>
      <c r="P169" s="4">
        <v>13070</v>
      </c>
    </row>
    <row r="170" spans="2:16" x14ac:dyDescent="0.3">
      <c r="B170" s="6" t="s">
        <v>1122</v>
      </c>
      <c r="C170" s="4">
        <v>0.56999999999999995</v>
      </c>
      <c r="D170" s="4">
        <v>0.1</v>
      </c>
      <c r="E170" s="4">
        <v>0.54</v>
      </c>
      <c r="F170" s="4">
        <v>0.56999999999999995</v>
      </c>
      <c r="G170" s="4">
        <v>10188</v>
      </c>
      <c r="H170" s="4">
        <v>50857</v>
      </c>
      <c r="I170" s="4">
        <v>33</v>
      </c>
      <c r="J170" s="6" t="s">
        <v>1123</v>
      </c>
      <c r="K170" s="4">
        <v>1.17</v>
      </c>
      <c r="L170" s="4">
        <v>-0.15</v>
      </c>
      <c r="M170" s="4">
        <v>1.17</v>
      </c>
      <c r="N170" s="4">
        <v>1.21</v>
      </c>
      <c r="O170" s="4">
        <v>92</v>
      </c>
      <c r="P170" s="4">
        <v>20153</v>
      </c>
    </row>
    <row r="171" spans="2:16" x14ac:dyDescent="0.3">
      <c r="B171" s="6" t="s">
        <v>1124</v>
      </c>
      <c r="C171" s="4">
        <v>0.25</v>
      </c>
      <c r="D171" s="4">
        <v>0.04</v>
      </c>
      <c r="E171" s="4">
        <v>0.23</v>
      </c>
      <c r="F171" s="4">
        <v>0.25</v>
      </c>
      <c r="G171" s="4">
        <v>1735</v>
      </c>
      <c r="H171" s="4">
        <v>20917</v>
      </c>
      <c r="I171" s="4">
        <v>34</v>
      </c>
      <c r="J171" s="6" t="s">
        <v>1125</v>
      </c>
      <c r="K171" s="4">
        <v>1.83</v>
      </c>
      <c r="L171" s="4">
        <v>-0.16</v>
      </c>
      <c r="M171" s="4">
        <v>1.86</v>
      </c>
      <c r="N171" s="4">
        <v>1.91</v>
      </c>
      <c r="O171" s="4">
        <v>47</v>
      </c>
      <c r="P171" s="4">
        <v>8909</v>
      </c>
    </row>
    <row r="172" spans="2:16" x14ac:dyDescent="0.3">
      <c r="B172" s="6" t="s">
        <v>1126</v>
      </c>
      <c r="C172" s="4">
        <v>0.11</v>
      </c>
      <c r="D172" s="4">
        <v>0.04</v>
      </c>
      <c r="E172" s="4">
        <v>0.09</v>
      </c>
      <c r="F172" s="4">
        <v>0.1</v>
      </c>
      <c r="G172" s="4">
        <v>1099</v>
      </c>
      <c r="H172" s="4">
        <v>6695</v>
      </c>
      <c r="I172" s="4">
        <v>35</v>
      </c>
      <c r="J172" s="6" t="s">
        <v>1127</v>
      </c>
      <c r="K172" s="4">
        <v>2.5499999999999998</v>
      </c>
      <c r="L172" s="4">
        <v>-0.95</v>
      </c>
      <c r="M172" s="4">
        <v>2.57</v>
      </c>
      <c r="N172" s="4">
        <v>2.77</v>
      </c>
      <c r="O172" s="4">
        <v>10</v>
      </c>
      <c r="P172" s="4">
        <v>34677</v>
      </c>
    </row>
    <row r="173" spans="2:16" x14ac:dyDescent="0.3">
      <c r="B173" s="6" t="s">
        <v>1128</v>
      </c>
      <c r="C173" s="4">
        <v>0.05</v>
      </c>
      <c r="D173" s="4">
        <v>0.01</v>
      </c>
      <c r="E173" s="4">
        <v>0.03</v>
      </c>
      <c r="F173" s="4">
        <v>0.05</v>
      </c>
      <c r="G173" s="4">
        <v>1000</v>
      </c>
      <c r="H173" s="4">
        <v>5995</v>
      </c>
      <c r="I173" s="4">
        <v>36</v>
      </c>
      <c r="J173" s="6" t="s">
        <v>1129</v>
      </c>
      <c r="K173" s="4">
        <v>4.0999999999999996</v>
      </c>
      <c r="L173" s="4">
        <v>0</v>
      </c>
      <c r="M173" s="4">
        <v>5.65</v>
      </c>
      <c r="N173" s="4">
        <v>6.45</v>
      </c>
      <c r="O173" s="4">
        <v>0</v>
      </c>
      <c r="P173" s="4">
        <v>2243</v>
      </c>
    </row>
    <row r="174" spans="2:16" x14ac:dyDescent="0.3">
      <c r="B174" s="6" t="s">
        <v>1130</v>
      </c>
      <c r="C174" s="4">
        <v>0.02</v>
      </c>
      <c r="D174" s="4">
        <v>0</v>
      </c>
      <c r="E174" s="4">
        <v>0</v>
      </c>
      <c r="F174" s="4">
        <v>0.03</v>
      </c>
      <c r="G174" s="4">
        <v>6</v>
      </c>
      <c r="H174" s="4">
        <v>5422</v>
      </c>
      <c r="I174" s="4">
        <v>37</v>
      </c>
      <c r="J174" s="6" t="s">
        <v>1131</v>
      </c>
      <c r="K174" s="4">
        <v>7.1</v>
      </c>
      <c r="L174" s="4">
        <v>0</v>
      </c>
      <c r="M174" s="4">
        <v>6.65</v>
      </c>
      <c r="N174" s="4">
        <v>7.45</v>
      </c>
      <c r="O174" s="4">
        <v>0</v>
      </c>
      <c r="P174" s="4">
        <v>799</v>
      </c>
    </row>
    <row r="175" spans="2:16" x14ac:dyDescent="0.3">
      <c r="B175" s="6" t="s">
        <v>1132</v>
      </c>
      <c r="C175" s="4">
        <v>0.02</v>
      </c>
      <c r="D175" s="4">
        <v>0</v>
      </c>
      <c r="E175" s="4">
        <v>0</v>
      </c>
      <c r="F175" s="4">
        <v>0.03</v>
      </c>
      <c r="G175" s="4">
        <v>5</v>
      </c>
      <c r="H175" s="4">
        <v>3839</v>
      </c>
      <c r="I175" s="4">
        <v>38</v>
      </c>
      <c r="J175" s="6" t="s">
        <v>1133</v>
      </c>
      <c r="K175" s="4">
        <v>9.65</v>
      </c>
      <c r="L175" s="4">
        <v>0</v>
      </c>
      <c r="M175" s="4">
        <v>6.15</v>
      </c>
      <c r="N175" s="4">
        <v>9.9499999999999993</v>
      </c>
      <c r="O175" s="4">
        <v>0</v>
      </c>
      <c r="P175" s="4">
        <v>6</v>
      </c>
    </row>
    <row r="176" spans="2:16" x14ac:dyDescent="0.3">
      <c r="B176" s="6" t="s">
        <v>1134</v>
      </c>
      <c r="C176" s="4">
        <v>0.03</v>
      </c>
      <c r="D176" s="4">
        <v>0</v>
      </c>
      <c r="E176" s="4">
        <v>0</v>
      </c>
      <c r="F176" s="4">
        <v>0.03</v>
      </c>
      <c r="G176" s="4">
        <v>1</v>
      </c>
      <c r="H176" s="4">
        <v>2490</v>
      </c>
      <c r="I176" s="4">
        <v>39</v>
      </c>
      <c r="J176" s="6" t="s">
        <v>1135</v>
      </c>
      <c r="K176" s="4">
        <v>7.54</v>
      </c>
      <c r="L176" s="4">
        <v>0</v>
      </c>
      <c r="M176" s="4">
        <v>7.15</v>
      </c>
      <c r="N176" s="4">
        <v>11</v>
      </c>
      <c r="O176" s="4">
        <v>0</v>
      </c>
      <c r="P176" s="4">
        <v>4</v>
      </c>
    </row>
    <row r="177" spans="2:16" x14ac:dyDescent="0.3">
      <c r="B177" s="6" t="s">
        <v>1136</v>
      </c>
      <c r="C177" s="4">
        <v>0.03</v>
      </c>
      <c r="D177" s="4">
        <v>0</v>
      </c>
      <c r="E177" s="4">
        <v>0</v>
      </c>
      <c r="F177" s="4">
        <v>0.03</v>
      </c>
      <c r="G177" s="4">
        <v>1</v>
      </c>
      <c r="H177" s="4">
        <v>4595</v>
      </c>
      <c r="I177" s="4">
        <v>40</v>
      </c>
      <c r="J177" s="6" t="s">
        <v>1137</v>
      </c>
      <c r="K177" s="4">
        <v>8.35</v>
      </c>
      <c r="L177" s="4">
        <v>0</v>
      </c>
      <c r="M177" s="4">
        <v>7.7</v>
      </c>
      <c r="N177" s="4">
        <v>8.15</v>
      </c>
      <c r="O177" s="4">
        <v>24</v>
      </c>
      <c r="P177" s="4">
        <v>4019</v>
      </c>
    </row>
    <row r="178" spans="2:16" x14ac:dyDescent="0.3">
      <c r="B178" s="6" t="s">
        <v>1138</v>
      </c>
      <c r="C178" s="4">
        <v>0.01</v>
      </c>
      <c r="D178" s="4">
        <v>0</v>
      </c>
      <c r="E178" s="4">
        <v>0</v>
      </c>
      <c r="F178" s="4">
        <v>0.03</v>
      </c>
      <c r="G178" s="4">
        <v>0</v>
      </c>
      <c r="H178" s="4">
        <v>188</v>
      </c>
      <c r="I178" s="4">
        <v>41</v>
      </c>
      <c r="J178" s="6" t="s">
        <v>1139</v>
      </c>
      <c r="K178" s="4">
        <v>9.5500000000000007</v>
      </c>
      <c r="L178" s="4">
        <v>0</v>
      </c>
      <c r="M178" s="4">
        <v>9.15</v>
      </c>
      <c r="N178" s="4">
        <v>13</v>
      </c>
      <c r="O178" s="4">
        <v>0</v>
      </c>
      <c r="P178" s="4">
        <v>37</v>
      </c>
    </row>
    <row r="179" spans="2:16" x14ac:dyDescent="0.3">
      <c r="B179" s="6" t="s">
        <v>1140</v>
      </c>
      <c r="C179" s="4">
        <v>0.04</v>
      </c>
      <c r="D179" s="4">
        <v>0</v>
      </c>
      <c r="E179" s="4">
        <v>0</v>
      </c>
      <c r="F179" s="4">
        <v>0.03</v>
      </c>
      <c r="G179" s="4">
        <v>0</v>
      </c>
      <c r="H179" s="4">
        <v>10</v>
      </c>
      <c r="I179" s="4">
        <v>42</v>
      </c>
      <c r="J179" s="6" t="s">
        <v>1141</v>
      </c>
      <c r="K179" s="4">
        <v>0</v>
      </c>
      <c r="L179" s="4">
        <v>0</v>
      </c>
      <c r="M179" s="4">
        <v>12.35</v>
      </c>
      <c r="N179" s="4">
        <v>12.95</v>
      </c>
      <c r="O179" s="4">
        <v>0</v>
      </c>
      <c r="P179" s="4">
        <v>0</v>
      </c>
    </row>
    <row r="180" spans="2:16" x14ac:dyDescent="0.3">
      <c r="B180" s="6" t="s">
        <v>1142</v>
      </c>
      <c r="C180" s="4">
        <v>0.03</v>
      </c>
      <c r="D180" s="4">
        <v>0</v>
      </c>
      <c r="E180" s="4">
        <v>0</v>
      </c>
      <c r="F180" s="4">
        <v>0.03</v>
      </c>
      <c r="G180" s="4">
        <v>0</v>
      </c>
      <c r="H180" s="4">
        <v>60</v>
      </c>
      <c r="I180" s="4">
        <v>43</v>
      </c>
      <c r="J180" s="6" t="s">
        <v>1143</v>
      </c>
      <c r="K180" s="4">
        <v>13.23</v>
      </c>
      <c r="L180" s="4">
        <v>0</v>
      </c>
      <c r="M180" s="4">
        <v>11.15</v>
      </c>
      <c r="N180" s="4">
        <v>15</v>
      </c>
      <c r="O180" s="4">
        <v>0</v>
      </c>
      <c r="P180" s="4">
        <v>15</v>
      </c>
    </row>
    <row r="181" spans="2:16" x14ac:dyDescent="0.3">
      <c r="B181" s="6" t="s">
        <v>1144</v>
      </c>
      <c r="C181" s="4">
        <v>0.03</v>
      </c>
      <c r="D181" s="4">
        <v>0</v>
      </c>
      <c r="E181" s="4">
        <v>0</v>
      </c>
      <c r="F181" s="4">
        <v>0.02</v>
      </c>
      <c r="G181" s="4">
        <v>0</v>
      </c>
      <c r="H181" s="4">
        <v>48</v>
      </c>
      <c r="I181" s="4">
        <v>44</v>
      </c>
      <c r="J181" s="6" t="s">
        <v>1145</v>
      </c>
      <c r="K181" s="4">
        <v>0</v>
      </c>
      <c r="L181" s="4">
        <v>0</v>
      </c>
      <c r="M181" s="4">
        <v>14.35</v>
      </c>
      <c r="N181" s="4">
        <v>14.95</v>
      </c>
      <c r="O181" s="4">
        <v>0</v>
      </c>
      <c r="P181" s="4">
        <v>0</v>
      </c>
    </row>
    <row r="182" spans="2:16" x14ac:dyDescent="0.3">
      <c r="B182" s="6" t="s">
        <v>1146</v>
      </c>
      <c r="C182" s="4">
        <v>0</v>
      </c>
      <c r="D182" s="4">
        <v>0</v>
      </c>
      <c r="E182" s="4">
        <v>0</v>
      </c>
      <c r="F182" s="4">
        <v>0.02</v>
      </c>
      <c r="G182" s="4">
        <v>0</v>
      </c>
      <c r="H182" s="4">
        <v>0</v>
      </c>
      <c r="I182" s="4">
        <v>45</v>
      </c>
      <c r="J182" s="6" t="s">
        <v>1147</v>
      </c>
      <c r="K182" s="4">
        <v>12.65</v>
      </c>
      <c r="L182" s="4">
        <v>0</v>
      </c>
      <c r="M182" s="4">
        <v>13.15</v>
      </c>
      <c r="N182" s="4">
        <v>17</v>
      </c>
      <c r="O182" s="4">
        <v>0</v>
      </c>
      <c r="P182" s="4">
        <v>1</v>
      </c>
    </row>
    <row r="183" spans="2:16" x14ac:dyDescent="0.3">
      <c r="B183" s="6" t="s">
        <v>1148</v>
      </c>
      <c r="C183" s="4">
        <v>0</v>
      </c>
      <c r="D183" s="4">
        <v>0</v>
      </c>
      <c r="E183" s="4">
        <v>0</v>
      </c>
      <c r="F183" s="4">
        <v>0.02</v>
      </c>
      <c r="G183" s="4">
        <v>0</v>
      </c>
      <c r="H183" s="4">
        <v>0</v>
      </c>
      <c r="I183" s="4">
        <v>46</v>
      </c>
      <c r="J183" s="6" t="s">
        <v>1149</v>
      </c>
      <c r="K183" s="4">
        <v>0</v>
      </c>
      <c r="L183" s="4">
        <v>0</v>
      </c>
      <c r="M183" s="4">
        <v>15.9</v>
      </c>
      <c r="N183" s="4">
        <v>17.100000000000001</v>
      </c>
      <c r="O183" s="4">
        <v>0</v>
      </c>
      <c r="P183" s="4">
        <v>0</v>
      </c>
    </row>
    <row r="184" spans="2:16" x14ac:dyDescent="0.3">
      <c r="B184" s="6" t="s">
        <v>1150</v>
      </c>
      <c r="C184" s="4" t="s">
        <v>366</v>
      </c>
      <c r="D184" s="4" t="s">
        <v>366</v>
      </c>
      <c r="E184" s="4" t="s">
        <v>366</v>
      </c>
      <c r="F184" s="4" t="s">
        <v>366</v>
      </c>
      <c r="G184" s="4" t="s">
        <v>366</v>
      </c>
      <c r="H184" s="4" t="s">
        <v>366</v>
      </c>
      <c r="I184" s="4">
        <v>21</v>
      </c>
      <c r="J184" s="6" t="s">
        <v>1151</v>
      </c>
      <c r="K184" s="4">
        <v>0.03</v>
      </c>
      <c r="L184" s="4">
        <v>0</v>
      </c>
      <c r="M184" s="4">
        <v>0.02</v>
      </c>
      <c r="N184" s="4">
        <v>0.05</v>
      </c>
      <c r="O184" s="4">
        <v>10</v>
      </c>
      <c r="P184" s="4">
        <v>20</v>
      </c>
    </row>
    <row r="185" spans="2:16" x14ac:dyDescent="0.3">
      <c r="B185" s="6" t="s">
        <v>1152</v>
      </c>
      <c r="C185" s="4" t="s">
        <v>366</v>
      </c>
      <c r="D185" s="4" t="s">
        <v>366</v>
      </c>
      <c r="E185" s="4" t="s">
        <v>366</v>
      </c>
      <c r="F185" s="4" t="s">
        <v>366</v>
      </c>
      <c r="G185" s="4" t="s">
        <v>366</v>
      </c>
      <c r="H185" s="4" t="s">
        <v>366</v>
      </c>
      <c r="I185" s="4">
        <v>23</v>
      </c>
      <c r="J185" s="6" t="s">
        <v>1153</v>
      </c>
      <c r="K185" s="4">
        <v>7.0000000000000007E-2</v>
      </c>
      <c r="L185" s="4">
        <v>0</v>
      </c>
      <c r="M185" s="4">
        <v>7.0000000000000007E-2</v>
      </c>
      <c r="N185" s="4">
        <v>0.1</v>
      </c>
      <c r="O185" s="4">
        <v>10</v>
      </c>
      <c r="P185" s="4">
        <v>0</v>
      </c>
    </row>
    <row r="186" spans="2:16" x14ac:dyDescent="0.3">
      <c r="B186" s="6" t="s">
        <v>1154</v>
      </c>
      <c r="C186" s="4">
        <v>5.95</v>
      </c>
      <c r="D186" s="4">
        <v>0</v>
      </c>
      <c r="E186" s="4">
        <v>5.3</v>
      </c>
      <c r="F186" s="4">
        <v>6.3</v>
      </c>
      <c r="G186" s="4">
        <v>3</v>
      </c>
      <c r="H186" s="4">
        <v>0</v>
      </c>
      <c r="I186" s="4">
        <v>24</v>
      </c>
      <c r="J186" s="6" t="s">
        <v>1155</v>
      </c>
      <c r="K186" s="4">
        <v>0.05</v>
      </c>
      <c r="L186" s="4">
        <v>0</v>
      </c>
      <c r="M186" s="4">
        <v>0.01</v>
      </c>
      <c r="N186" s="4">
        <v>0.05</v>
      </c>
      <c r="O186" s="4">
        <v>19</v>
      </c>
      <c r="P186" s="4">
        <v>25</v>
      </c>
    </row>
    <row r="187" spans="2:16" x14ac:dyDescent="0.3">
      <c r="B187" s="6" t="s">
        <v>1156</v>
      </c>
      <c r="C187" s="4" t="s">
        <v>366</v>
      </c>
      <c r="D187" s="4" t="s">
        <v>366</v>
      </c>
      <c r="E187" s="4" t="s">
        <v>366</v>
      </c>
      <c r="F187" s="4" t="s">
        <v>366</v>
      </c>
      <c r="G187" s="4" t="s">
        <v>366</v>
      </c>
      <c r="H187" s="4" t="s">
        <v>366</v>
      </c>
      <c r="I187" s="4">
        <v>25</v>
      </c>
      <c r="J187" s="6" t="s">
        <v>1157</v>
      </c>
      <c r="K187" s="4">
        <v>0.05</v>
      </c>
      <c r="L187" s="4">
        <v>0</v>
      </c>
      <c r="M187" s="4">
        <v>0.03</v>
      </c>
      <c r="N187" s="4">
        <v>0.06</v>
      </c>
      <c r="O187" s="4">
        <v>15</v>
      </c>
      <c r="P187" s="4">
        <v>64</v>
      </c>
    </row>
    <row r="188" spans="2:16" x14ac:dyDescent="0.3">
      <c r="B188" s="6" t="s">
        <v>1158</v>
      </c>
      <c r="C188" s="4">
        <v>4.25</v>
      </c>
      <c r="D188" s="4">
        <v>0</v>
      </c>
      <c r="E188" s="4">
        <v>3.45</v>
      </c>
      <c r="F188" s="4">
        <v>4.3499999999999996</v>
      </c>
      <c r="G188" s="4">
        <v>4</v>
      </c>
      <c r="H188" s="4">
        <v>2</v>
      </c>
      <c r="I188" s="4">
        <v>26</v>
      </c>
      <c r="J188" s="6" t="s">
        <v>1159</v>
      </c>
      <c r="K188" s="4">
        <v>0.06</v>
      </c>
      <c r="L188" s="4">
        <v>-0.01</v>
      </c>
      <c r="M188" s="4">
        <v>0.05</v>
      </c>
      <c r="N188" s="4">
        <v>7.0000000000000007E-2</v>
      </c>
      <c r="O188" s="4">
        <v>26</v>
      </c>
      <c r="P188" s="4">
        <v>148</v>
      </c>
    </row>
    <row r="189" spans="2:16" x14ac:dyDescent="0.3">
      <c r="B189" s="6" t="s">
        <v>1160</v>
      </c>
      <c r="C189" s="4">
        <v>6.1</v>
      </c>
      <c r="D189" s="4">
        <v>0</v>
      </c>
      <c r="E189" s="4">
        <v>5.25</v>
      </c>
      <c r="F189" s="4">
        <v>5.85</v>
      </c>
      <c r="G189" s="4">
        <v>15</v>
      </c>
      <c r="H189" s="4">
        <v>0</v>
      </c>
      <c r="I189" s="4">
        <v>27</v>
      </c>
      <c r="J189" s="6" t="s">
        <v>1161</v>
      </c>
      <c r="K189" s="4">
        <v>0.09</v>
      </c>
      <c r="L189" s="4">
        <v>0</v>
      </c>
      <c r="M189" s="4">
        <v>7.0000000000000007E-2</v>
      </c>
      <c r="N189" s="4">
        <v>0.11</v>
      </c>
      <c r="O189" s="4">
        <v>27</v>
      </c>
      <c r="P189" s="4">
        <v>435</v>
      </c>
    </row>
    <row r="190" spans="2:16" x14ac:dyDescent="0.3">
      <c r="B190" s="6" t="s">
        <v>1162</v>
      </c>
      <c r="C190" s="4">
        <v>4.6399999999999997</v>
      </c>
      <c r="D190" s="4">
        <v>0</v>
      </c>
      <c r="E190" s="4">
        <v>4</v>
      </c>
      <c r="F190" s="4">
        <v>5.2</v>
      </c>
      <c r="G190" s="4">
        <v>2</v>
      </c>
      <c r="H190" s="4">
        <v>0</v>
      </c>
      <c r="I190" s="4">
        <v>28</v>
      </c>
      <c r="J190" s="6" t="s">
        <v>1163</v>
      </c>
      <c r="K190" s="4">
        <v>0.13</v>
      </c>
      <c r="L190" s="4">
        <v>-0.01</v>
      </c>
      <c r="M190" s="4">
        <v>0.12</v>
      </c>
      <c r="N190" s="4">
        <v>0.14000000000000001</v>
      </c>
      <c r="O190" s="4">
        <v>24</v>
      </c>
      <c r="P190" s="4">
        <v>204</v>
      </c>
    </row>
    <row r="191" spans="2:16" x14ac:dyDescent="0.3">
      <c r="B191" s="6" t="s">
        <v>1164</v>
      </c>
      <c r="C191" s="4">
        <v>3.1</v>
      </c>
      <c r="D191" s="4">
        <v>0</v>
      </c>
      <c r="E191" s="4">
        <v>3.35</v>
      </c>
      <c r="F191" s="4">
        <v>3.9</v>
      </c>
      <c r="G191" s="4">
        <v>2</v>
      </c>
      <c r="H191" s="4">
        <v>160</v>
      </c>
      <c r="I191" s="4">
        <v>29</v>
      </c>
      <c r="J191" s="6" t="s">
        <v>1165</v>
      </c>
      <c r="K191" s="4">
        <v>0.21</v>
      </c>
      <c r="L191" s="4">
        <v>-0.02</v>
      </c>
      <c r="M191" s="4">
        <v>0.2</v>
      </c>
      <c r="N191" s="4">
        <v>0.22</v>
      </c>
      <c r="O191" s="4">
        <v>46</v>
      </c>
      <c r="P191" s="4">
        <v>535</v>
      </c>
    </row>
    <row r="192" spans="2:16" x14ac:dyDescent="0.3">
      <c r="B192" s="6" t="s">
        <v>1166</v>
      </c>
      <c r="C192" s="4">
        <v>2.5499999999999998</v>
      </c>
      <c r="D192" s="4">
        <v>-0.3</v>
      </c>
      <c r="E192" s="4">
        <v>2.4700000000000002</v>
      </c>
      <c r="F192" s="4">
        <v>2.71</v>
      </c>
      <c r="G192" s="4">
        <v>18</v>
      </c>
      <c r="H192" s="4">
        <v>198</v>
      </c>
      <c r="I192" s="4">
        <v>30</v>
      </c>
      <c r="J192" s="6" t="s">
        <v>1167</v>
      </c>
      <c r="K192" s="4">
        <v>0.33</v>
      </c>
      <c r="L192" s="4">
        <v>-0.05</v>
      </c>
      <c r="M192" s="4">
        <v>0.32</v>
      </c>
      <c r="N192" s="4">
        <v>0.35</v>
      </c>
      <c r="O192" s="4">
        <v>95</v>
      </c>
      <c r="P192" s="4">
        <v>1010</v>
      </c>
    </row>
    <row r="193" spans="2:16" x14ac:dyDescent="0.3">
      <c r="B193" s="6" t="s">
        <v>1168</v>
      </c>
      <c r="C193" s="4">
        <v>1.78</v>
      </c>
      <c r="D193" s="4">
        <v>-0.19</v>
      </c>
      <c r="E193" s="4">
        <v>1.71</v>
      </c>
      <c r="F193" s="4">
        <v>1.89</v>
      </c>
      <c r="G193" s="4">
        <v>8</v>
      </c>
      <c r="H193" s="4">
        <v>1232</v>
      </c>
      <c r="I193" s="4">
        <v>31</v>
      </c>
      <c r="J193" s="6" t="s">
        <v>1169</v>
      </c>
      <c r="K193" s="4">
        <v>0.54</v>
      </c>
      <c r="L193" s="4">
        <v>-0.04</v>
      </c>
      <c r="M193" s="4">
        <v>0.52</v>
      </c>
      <c r="N193" s="4">
        <v>0.56000000000000005</v>
      </c>
      <c r="O193" s="4">
        <v>60</v>
      </c>
      <c r="P193" s="4">
        <v>1411</v>
      </c>
    </row>
    <row r="194" spans="2:16" x14ac:dyDescent="0.3">
      <c r="B194" s="6" t="s">
        <v>1170</v>
      </c>
      <c r="C194" s="4">
        <v>1.31</v>
      </c>
      <c r="D194" s="4">
        <v>0.19</v>
      </c>
      <c r="E194" s="4">
        <v>1.23</v>
      </c>
      <c r="F194" s="4">
        <v>1.29</v>
      </c>
      <c r="G194" s="4">
        <v>19</v>
      </c>
      <c r="H194" s="4">
        <v>3247</v>
      </c>
      <c r="I194" s="4">
        <v>32</v>
      </c>
      <c r="J194" s="6" t="s">
        <v>1171</v>
      </c>
      <c r="K194" s="4">
        <v>0.85</v>
      </c>
      <c r="L194" s="4">
        <v>-0.05</v>
      </c>
      <c r="M194" s="4">
        <v>0.86</v>
      </c>
      <c r="N194" s="4">
        <v>0.87</v>
      </c>
      <c r="O194" s="4">
        <v>708</v>
      </c>
      <c r="P194" s="4">
        <v>2032</v>
      </c>
    </row>
    <row r="195" spans="2:16" x14ac:dyDescent="0.3">
      <c r="B195" s="6" t="s">
        <v>1172</v>
      </c>
      <c r="C195" s="4">
        <v>0.78</v>
      </c>
      <c r="D195" s="4">
        <v>0.13</v>
      </c>
      <c r="E195" s="4">
        <v>0.7</v>
      </c>
      <c r="F195" s="4">
        <v>0.75</v>
      </c>
      <c r="G195" s="4">
        <v>869</v>
      </c>
      <c r="H195" s="4">
        <v>11960</v>
      </c>
      <c r="I195" s="4">
        <v>33</v>
      </c>
      <c r="J195" s="6" t="s">
        <v>1173</v>
      </c>
      <c r="K195" s="4">
        <v>1.29</v>
      </c>
      <c r="L195" s="4">
        <v>-0.09</v>
      </c>
      <c r="M195" s="4">
        <v>1.31</v>
      </c>
      <c r="N195" s="4">
        <v>1.37</v>
      </c>
      <c r="O195" s="4">
        <v>163</v>
      </c>
      <c r="P195" s="4">
        <v>737</v>
      </c>
    </row>
    <row r="196" spans="2:16" x14ac:dyDescent="0.3">
      <c r="B196" s="6" t="s">
        <v>1174</v>
      </c>
      <c r="C196" s="4">
        <v>0.39</v>
      </c>
      <c r="D196" s="4">
        <v>7.0000000000000007E-2</v>
      </c>
      <c r="E196" s="4">
        <v>0.36</v>
      </c>
      <c r="F196" s="4">
        <v>0.38</v>
      </c>
      <c r="G196" s="4">
        <v>468</v>
      </c>
      <c r="H196" s="4">
        <v>13468</v>
      </c>
      <c r="I196" s="4">
        <v>34</v>
      </c>
      <c r="J196" s="6" t="s">
        <v>1175</v>
      </c>
      <c r="K196" s="4">
        <v>2.11</v>
      </c>
      <c r="L196" s="4">
        <v>0.03</v>
      </c>
      <c r="M196" s="4">
        <v>2.06</v>
      </c>
      <c r="N196" s="4">
        <v>2.12</v>
      </c>
      <c r="O196" s="4">
        <v>1</v>
      </c>
      <c r="P196" s="4">
        <v>13</v>
      </c>
    </row>
    <row r="197" spans="2:16" x14ac:dyDescent="0.3">
      <c r="B197" s="6" t="s">
        <v>1176</v>
      </c>
      <c r="C197" s="4">
        <v>0.18</v>
      </c>
      <c r="D197" s="4">
        <v>0.05</v>
      </c>
      <c r="E197" s="4">
        <v>0.16</v>
      </c>
      <c r="F197" s="4">
        <v>0.18</v>
      </c>
      <c r="G197" s="4">
        <v>279</v>
      </c>
      <c r="H197" s="4">
        <v>472</v>
      </c>
      <c r="I197" s="4">
        <v>35</v>
      </c>
      <c r="J197" s="6" t="s">
        <v>1177</v>
      </c>
      <c r="K197" s="4">
        <v>2.98</v>
      </c>
      <c r="L197" s="4">
        <v>0.1</v>
      </c>
      <c r="M197" s="4">
        <v>2.88</v>
      </c>
      <c r="N197" s="4">
        <v>3.2</v>
      </c>
      <c r="O197" s="4">
        <v>2</v>
      </c>
      <c r="P197" s="4">
        <v>27</v>
      </c>
    </row>
    <row r="198" spans="2:16" x14ac:dyDescent="0.3">
      <c r="B198" s="6" t="s">
        <v>1178</v>
      </c>
      <c r="C198" s="4">
        <v>0.08</v>
      </c>
      <c r="D198" s="4">
        <v>0.01</v>
      </c>
      <c r="E198" s="4">
        <v>0.06</v>
      </c>
      <c r="F198" s="4">
        <v>0.08</v>
      </c>
      <c r="G198" s="4">
        <v>66</v>
      </c>
      <c r="H198" s="4">
        <v>479</v>
      </c>
      <c r="I198" s="4">
        <v>36</v>
      </c>
      <c r="J198" s="6" t="s">
        <v>1179</v>
      </c>
      <c r="K198" s="4" t="s">
        <v>366</v>
      </c>
      <c r="L198" s="4" t="s">
        <v>366</v>
      </c>
      <c r="M198" s="4" t="s">
        <v>366</v>
      </c>
      <c r="N198" s="4" t="s">
        <v>366</v>
      </c>
      <c r="O198" s="4" t="s">
        <v>366</v>
      </c>
      <c r="P198" s="4" t="s">
        <v>366</v>
      </c>
    </row>
    <row r="199" spans="2:16" x14ac:dyDescent="0.3">
      <c r="B199" s="6" t="s">
        <v>1180</v>
      </c>
      <c r="C199" s="4">
        <v>0.04</v>
      </c>
      <c r="D199" s="4">
        <v>0.01</v>
      </c>
      <c r="E199" s="4">
        <v>0.02</v>
      </c>
      <c r="F199" s="4">
        <v>0.04</v>
      </c>
      <c r="G199" s="4">
        <v>13</v>
      </c>
      <c r="H199" s="4">
        <v>417</v>
      </c>
      <c r="I199" s="4">
        <v>37</v>
      </c>
      <c r="J199" s="6" t="s">
        <v>1181</v>
      </c>
      <c r="K199" s="4" t="s">
        <v>366</v>
      </c>
      <c r="L199" s="4" t="s">
        <v>366</v>
      </c>
      <c r="M199" s="4" t="s">
        <v>366</v>
      </c>
      <c r="N199" s="4" t="s">
        <v>366</v>
      </c>
      <c r="O199" s="4" t="s">
        <v>366</v>
      </c>
      <c r="P199" s="4" t="s">
        <v>366</v>
      </c>
    </row>
    <row r="200" spans="2:16" x14ac:dyDescent="0.3">
      <c r="B200" s="6" t="s">
        <v>1182</v>
      </c>
      <c r="C200" s="4">
        <v>0.03</v>
      </c>
      <c r="D200" s="4">
        <v>0.01</v>
      </c>
      <c r="E200" s="4">
        <v>0.01</v>
      </c>
      <c r="F200" s="4">
        <v>0.03</v>
      </c>
      <c r="G200" s="4">
        <v>7</v>
      </c>
      <c r="H200" s="4">
        <v>43</v>
      </c>
      <c r="I200" s="4">
        <v>38</v>
      </c>
      <c r="J200" s="6" t="s">
        <v>1183</v>
      </c>
      <c r="K200" s="4" t="s">
        <v>366</v>
      </c>
      <c r="L200" s="4" t="s">
        <v>366</v>
      </c>
      <c r="M200" s="4" t="s">
        <v>366</v>
      </c>
      <c r="N200" s="4" t="s">
        <v>366</v>
      </c>
      <c r="O200" s="4" t="s">
        <v>366</v>
      </c>
      <c r="P200" s="4" t="s">
        <v>366</v>
      </c>
    </row>
    <row r="201" spans="2:16" x14ac:dyDescent="0.3">
      <c r="B201" s="6" t="s">
        <v>1184</v>
      </c>
      <c r="C201" s="4">
        <v>0.02</v>
      </c>
      <c r="D201" s="4">
        <v>0</v>
      </c>
      <c r="E201" s="4">
        <v>0</v>
      </c>
      <c r="F201" s="4">
        <v>0.03</v>
      </c>
      <c r="G201" s="4">
        <v>5</v>
      </c>
      <c r="H201" s="4">
        <v>0</v>
      </c>
      <c r="I201" s="4">
        <v>39</v>
      </c>
      <c r="J201" s="6" t="s">
        <v>1185</v>
      </c>
      <c r="K201" s="4" t="s">
        <v>366</v>
      </c>
      <c r="L201" s="4" t="s">
        <v>366</v>
      </c>
      <c r="M201" s="4" t="s">
        <v>366</v>
      </c>
      <c r="N201" s="4" t="s">
        <v>366</v>
      </c>
      <c r="O201" s="4" t="s">
        <v>366</v>
      </c>
      <c r="P201" s="4" t="s">
        <v>366</v>
      </c>
    </row>
    <row r="202" spans="2:16" x14ac:dyDescent="0.3">
      <c r="B202" s="6" t="s">
        <v>1186</v>
      </c>
      <c r="C202" s="4" t="s">
        <v>366</v>
      </c>
      <c r="D202" s="4" t="s">
        <v>366</v>
      </c>
      <c r="E202" s="4" t="s">
        <v>366</v>
      </c>
      <c r="F202" s="4" t="s">
        <v>366</v>
      </c>
      <c r="G202" s="4" t="s">
        <v>366</v>
      </c>
      <c r="H202" s="4" t="s">
        <v>366</v>
      </c>
      <c r="I202" s="4">
        <v>28</v>
      </c>
      <c r="J202" s="6" t="s">
        <v>1187</v>
      </c>
      <c r="K202" s="4">
        <v>0.24</v>
      </c>
      <c r="L202" s="4">
        <v>0</v>
      </c>
      <c r="M202" s="4">
        <v>0.23</v>
      </c>
      <c r="N202" s="4">
        <v>0.27</v>
      </c>
      <c r="O202" s="4">
        <v>305</v>
      </c>
      <c r="P202" s="4">
        <v>0</v>
      </c>
    </row>
    <row r="203" spans="2:16" x14ac:dyDescent="0.3">
      <c r="B203" s="6" t="s">
        <v>1188</v>
      </c>
      <c r="C203" s="4" t="s">
        <v>366</v>
      </c>
      <c r="D203" s="4" t="s">
        <v>366</v>
      </c>
      <c r="E203" s="4" t="s">
        <v>366</v>
      </c>
      <c r="F203" s="4" t="s">
        <v>366</v>
      </c>
      <c r="G203" s="4" t="s">
        <v>366</v>
      </c>
      <c r="H203" s="4" t="s">
        <v>366</v>
      </c>
      <c r="I203" s="4">
        <v>29</v>
      </c>
      <c r="J203" s="6" t="s">
        <v>1189</v>
      </c>
      <c r="K203" s="4">
        <v>0.39</v>
      </c>
      <c r="L203" s="4">
        <v>0</v>
      </c>
      <c r="M203" s="4">
        <v>0.34</v>
      </c>
      <c r="N203" s="4">
        <v>0.39</v>
      </c>
      <c r="O203" s="4">
        <v>48</v>
      </c>
      <c r="P203" s="4">
        <v>0</v>
      </c>
    </row>
    <row r="204" spans="2:16" x14ac:dyDescent="0.3">
      <c r="B204" s="6" t="s">
        <v>1190</v>
      </c>
      <c r="C204" s="4" t="s">
        <v>366</v>
      </c>
      <c r="D204" s="4" t="s">
        <v>366</v>
      </c>
      <c r="E204" s="4" t="s">
        <v>366</v>
      </c>
      <c r="F204" s="4" t="s">
        <v>366</v>
      </c>
      <c r="G204" s="4" t="s">
        <v>366</v>
      </c>
      <c r="H204" s="4" t="s">
        <v>366</v>
      </c>
      <c r="I204" s="4">
        <v>31</v>
      </c>
      <c r="J204" s="6" t="s">
        <v>1191</v>
      </c>
      <c r="K204" s="4">
        <v>0.83</v>
      </c>
      <c r="L204" s="4">
        <v>0</v>
      </c>
      <c r="M204" s="4">
        <v>0.8</v>
      </c>
      <c r="N204" s="4">
        <v>0.86</v>
      </c>
      <c r="O204" s="4">
        <v>10</v>
      </c>
      <c r="P204" s="4">
        <v>0</v>
      </c>
    </row>
    <row r="205" spans="2:16" x14ac:dyDescent="0.3">
      <c r="B205" s="6" t="s">
        <v>1192</v>
      </c>
      <c r="C205" s="4" t="s">
        <v>366</v>
      </c>
      <c r="D205" s="4" t="s">
        <v>366</v>
      </c>
      <c r="E205" s="4" t="s">
        <v>366</v>
      </c>
      <c r="F205" s="4" t="s">
        <v>366</v>
      </c>
      <c r="G205" s="4" t="s">
        <v>366</v>
      </c>
      <c r="H205" s="4" t="s">
        <v>366</v>
      </c>
      <c r="I205" s="4">
        <v>32</v>
      </c>
      <c r="J205" s="6" t="s">
        <v>1193</v>
      </c>
      <c r="K205" s="4">
        <v>1.17</v>
      </c>
      <c r="L205" s="4">
        <v>0</v>
      </c>
      <c r="M205" s="4">
        <v>1.18</v>
      </c>
      <c r="N205" s="4">
        <v>1.24</v>
      </c>
      <c r="O205" s="4">
        <v>4</v>
      </c>
      <c r="P205" s="4">
        <v>0</v>
      </c>
    </row>
    <row r="206" spans="2:16" x14ac:dyDescent="0.3">
      <c r="B206" s="6" t="s">
        <v>1194</v>
      </c>
      <c r="C206" s="4">
        <v>0.93</v>
      </c>
      <c r="D206" s="4">
        <v>0</v>
      </c>
      <c r="E206" s="4">
        <v>0.88</v>
      </c>
      <c r="F206" s="4">
        <v>0.93</v>
      </c>
      <c r="G206" s="4">
        <v>15</v>
      </c>
      <c r="H206" s="4">
        <v>0</v>
      </c>
      <c r="I206" s="4">
        <v>33</v>
      </c>
      <c r="J206" s="6" t="s">
        <v>1195</v>
      </c>
      <c r="K206" s="4" t="s">
        <v>366</v>
      </c>
      <c r="L206" s="4" t="s">
        <v>366</v>
      </c>
      <c r="M206" s="4" t="s">
        <v>366</v>
      </c>
      <c r="N206" s="4" t="s">
        <v>366</v>
      </c>
      <c r="O206" s="4" t="s">
        <v>366</v>
      </c>
      <c r="P206" s="4" t="s">
        <v>366</v>
      </c>
    </row>
    <row r="207" spans="2:16" x14ac:dyDescent="0.3">
      <c r="B207" s="6" t="s">
        <v>1196</v>
      </c>
      <c r="C207" s="4">
        <v>0.57999999999999996</v>
      </c>
      <c r="D207" s="4">
        <v>0</v>
      </c>
      <c r="E207" s="4">
        <v>0.5</v>
      </c>
      <c r="F207" s="4">
        <v>0.55000000000000004</v>
      </c>
      <c r="G207" s="4">
        <v>125</v>
      </c>
      <c r="H207" s="4">
        <v>0</v>
      </c>
      <c r="I207" s="4">
        <v>34</v>
      </c>
      <c r="J207" s="6" t="s">
        <v>1197</v>
      </c>
      <c r="K207" s="4" t="s">
        <v>366</v>
      </c>
      <c r="L207" s="4" t="s">
        <v>366</v>
      </c>
      <c r="M207" s="4" t="s">
        <v>366</v>
      </c>
      <c r="N207" s="4" t="s">
        <v>366</v>
      </c>
      <c r="O207" s="4" t="s">
        <v>366</v>
      </c>
      <c r="P207" s="4" t="s">
        <v>366</v>
      </c>
    </row>
    <row r="208" spans="2:16" x14ac:dyDescent="0.3">
      <c r="B208" s="6" t="s">
        <v>1198</v>
      </c>
      <c r="C208" s="4">
        <v>0.3</v>
      </c>
      <c r="D208" s="4">
        <v>0</v>
      </c>
      <c r="E208" s="4">
        <v>0.27</v>
      </c>
      <c r="F208" s="4">
        <v>0.31</v>
      </c>
      <c r="G208" s="4">
        <v>14</v>
      </c>
      <c r="H208" s="4">
        <v>0</v>
      </c>
      <c r="I208" s="4">
        <v>35</v>
      </c>
      <c r="J208" s="6" t="s">
        <v>1199</v>
      </c>
      <c r="K208" s="4" t="s">
        <v>366</v>
      </c>
      <c r="L208" s="4" t="s">
        <v>366</v>
      </c>
      <c r="M208" s="4" t="s">
        <v>366</v>
      </c>
      <c r="N208" s="4" t="s">
        <v>366</v>
      </c>
      <c r="O208" s="4" t="s">
        <v>366</v>
      </c>
      <c r="P208" s="4" t="s">
        <v>366</v>
      </c>
    </row>
    <row r="209" spans="2:16" x14ac:dyDescent="0.3">
      <c r="B209" s="6" t="s">
        <v>1200</v>
      </c>
      <c r="C209" s="4">
        <v>0.16</v>
      </c>
      <c r="D209" s="4">
        <v>0</v>
      </c>
      <c r="E209" s="4">
        <v>0.13</v>
      </c>
      <c r="F209" s="4">
        <v>0.17</v>
      </c>
      <c r="G209" s="4">
        <v>7</v>
      </c>
      <c r="H209" s="4">
        <v>0</v>
      </c>
      <c r="I209" s="4">
        <v>36</v>
      </c>
      <c r="J209" s="6" t="s">
        <v>1201</v>
      </c>
      <c r="K209" s="4" t="s">
        <v>366</v>
      </c>
      <c r="L209" s="4" t="s">
        <v>366</v>
      </c>
      <c r="M209" s="4" t="s">
        <v>366</v>
      </c>
      <c r="N209" s="4" t="s">
        <v>366</v>
      </c>
      <c r="O209" s="4" t="s">
        <v>366</v>
      </c>
      <c r="P209" s="4" t="s">
        <v>366</v>
      </c>
    </row>
    <row r="210" spans="2:16" x14ac:dyDescent="0.3">
      <c r="B210" s="6" t="s">
        <v>1202</v>
      </c>
      <c r="C210" s="4">
        <v>14.55</v>
      </c>
      <c r="D210" s="4">
        <v>0</v>
      </c>
      <c r="E210" s="4">
        <v>12.3</v>
      </c>
      <c r="F210" s="4">
        <v>16.149999999999999</v>
      </c>
      <c r="G210" s="4">
        <v>0</v>
      </c>
      <c r="H210" s="4">
        <v>14</v>
      </c>
      <c r="I210" s="4">
        <v>16</v>
      </c>
      <c r="J210" s="6" t="s">
        <v>1203</v>
      </c>
      <c r="K210" s="4">
        <v>0.03</v>
      </c>
      <c r="L210" s="4">
        <v>-0.03</v>
      </c>
      <c r="M210" s="4">
        <v>0.01</v>
      </c>
      <c r="N210" s="4">
        <v>0.04</v>
      </c>
      <c r="O210" s="4">
        <v>125</v>
      </c>
      <c r="P210" s="4">
        <v>11</v>
      </c>
    </row>
    <row r="211" spans="2:16" x14ac:dyDescent="0.3">
      <c r="B211" s="6" t="s">
        <v>1204</v>
      </c>
      <c r="C211" s="4">
        <v>0</v>
      </c>
      <c r="D211" s="4">
        <v>0</v>
      </c>
      <c r="E211" s="4">
        <v>12.35</v>
      </c>
      <c r="F211" s="4">
        <v>12.9</v>
      </c>
      <c r="G211" s="4">
        <v>0</v>
      </c>
      <c r="H211" s="4">
        <v>0</v>
      </c>
      <c r="I211" s="4">
        <v>17</v>
      </c>
      <c r="J211" s="6" t="s">
        <v>1205</v>
      </c>
      <c r="K211" s="4">
        <v>0.02</v>
      </c>
      <c r="L211" s="4">
        <v>-0.01</v>
      </c>
      <c r="M211" s="4">
        <v>0</v>
      </c>
      <c r="N211" s="4">
        <v>0.04</v>
      </c>
      <c r="O211" s="4">
        <v>8</v>
      </c>
      <c r="P211" s="4">
        <v>39</v>
      </c>
    </row>
    <row r="212" spans="2:16" x14ac:dyDescent="0.3">
      <c r="B212" s="6" t="s">
        <v>1206</v>
      </c>
      <c r="C212" s="4">
        <v>11.8</v>
      </c>
      <c r="D212" s="4">
        <v>0</v>
      </c>
      <c r="E212" s="4">
        <v>10.3</v>
      </c>
      <c r="F212" s="4">
        <v>14.3</v>
      </c>
      <c r="G212" s="4">
        <v>0</v>
      </c>
      <c r="H212" s="4">
        <v>21</v>
      </c>
      <c r="I212" s="4">
        <v>18</v>
      </c>
      <c r="J212" s="6" t="s">
        <v>1207</v>
      </c>
      <c r="K212" s="4">
        <v>0.02</v>
      </c>
      <c r="L212" s="4">
        <v>0</v>
      </c>
      <c r="M212" s="4">
        <v>0</v>
      </c>
      <c r="N212" s="4">
        <v>0.04</v>
      </c>
      <c r="O212" s="4">
        <v>16</v>
      </c>
      <c r="P212" s="4">
        <v>199</v>
      </c>
    </row>
    <row r="213" spans="2:16" x14ac:dyDescent="0.3">
      <c r="B213" s="6" t="s">
        <v>1208</v>
      </c>
      <c r="C213" s="4">
        <v>10.8</v>
      </c>
      <c r="D213" s="4">
        <v>0</v>
      </c>
      <c r="E213" s="4">
        <v>9.25</v>
      </c>
      <c r="F213" s="4">
        <v>13.3</v>
      </c>
      <c r="G213" s="4">
        <v>0</v>
      </c>
      <c r="H213" s="4">
        <v>11</v>
      </c>
      <c r="I213" s="4">
        <v>19</v>
      </c>
      <c r="J213" s="6" t="s">
        <v>1209</v>
      </c>
      <c r="K213" s="4">
        <v>0.06</v>
      </c>
      <c r="L213" s="4">
        <v>0</v>
      </c>
      <c r="M213" s="4">
        <v>0.04</v>
      </c>
      <c r="N213" s="4">
        <v>7.0000000000000007E-2</v>
      </c>
      <c r="O213" s="4">
        <v>10</v>
      </c>
      <c r="P213" s="4">
        <v>30</v>
      </c>
    </row>
    <row r="214" spans="2:16" x14ac:dyDescent="0.3">
      <c r="B214" s="6" t="s">
        <v>1210</v>
      </c>
      <c r="C214" s="4">
        <v>11.81</v>
      </c>
      <c r="D214" s="4">
        <v>1.91</v>
      </c>
      <c r="E214" s="4">
        <v>10.7</v>
      </c>
      <c r="F214" s="4">
        <v>14.95</v>
      </c>
      <c r="G214" s="4">
        <v>3</v>
      </c>
      <c r="H214" s="4">
        <v>34</v>
      </c>
      <c r="I214" s="4">
        <v>20</v>
      </c>
      <c r="J214" s="6" t="s">
        <v>1211</v>
      </c>
      <c r="K214" s="4">
        <v>0.02</v>
      </c>
      <c r="L214" s="4">
        <v>0</v>
      </c>
      <c r="M214" s="4">
        <v>0.02</v>
      </c>
      <c r="N214" s="4">
        <v>0.05</v>
      </c>
      <c r="O214" s="4">
        <v>12</v>
      </c>
      <c r="P214" s="4">
        <v>135</v>
      </c>
    </row>
    <row r="215" spans="2:16" x14ac:dyDescent="0.3">
      <c r="B215" s="6" t="s">
        <v>1212</v>
      </c>
      <c r="C215" s="4">
        <v>0</v>
      </c>
      <c r="D215" s="4">
        <v>0</v>
      </c>
      <c r="E215" s="4">
        <v>8</v>
      </c>
      <c r="F215" s="4">
        <v>9.0500000000000007</v>
      </c>
      <c r="G215" s="4">
        <v>0</v>
      </c>
      <c r="H215" s="4">
        <v>0</v>
      </c>
      <c r="I215" s="4">
        <v>21</v>
      </c>
      <c r="J215" s="6" t="s">
        <v>1213</v>
      </c>
      <c r="K215" s="4">
        <v>0.03</v>
      </c>
      <c r="L215" s="4">
        <v>0</v>
      </c>
      <c r="M215" s="4">
        <v>0.04</v>
      </c>
      <c r="N215" s="4">
        <v>0.06</v>
      </c>
      <c r="O215" s="4">
        <v>50</v>
      </c>
      <c r="P215" s="4">
        <v>76</v>
      </c>
    </row>
    <row r="216" spans="2:16" x14ac:dyDescent="0.3">
      <c r="B216" s="6" t="s">
        <v>1214</v>
      </c>
      <c r="C216" s="4">
        <v>8.1</v>
      </c>
      <c r="D216" s="4">
        <v>0</v>
      </c>
      <c r="E216" s="4">
        <v>7.8</v>
      </c>
      <c r="F216" s="4">
        <v>8.85</v>
      </c>
      <c r="G216" s="4">
        <v>0</v>
      </c>
      <c r="H216" s="4">
        <v>0</v>
      </c>
      <c r="I216" s="4">
        <v>22</v>
      </c>
      <c r="J216" s="6" t="s">
        <v>1215</v>
      </c>
      <c r="K216" s="4">
        <v>0.05</v>
      </c>
      <c r="L216" s="4">
        <v>-7.0000000000000007E-2</v>
      </c>
      <c r="M216" s="4">
        <v>0.05</v>
      </c>
      <c r="N216" s="4">
        <v>0.08</v>
      </c>
      <c r="O216" s="4">
        <v>25</v>
      </c>
      <c r="P216" s="4">
        <v>168</v>
      </c>
    </row>
    <row r="217" spans="2:16" x14ac:dyDescent="0.3">
      <c r="B217" s="6" t="s">
        <v>1216</v>
      </c>
      <c r="C217" s="4">
        <v>9.4</v>
      </c>
      <c r="D217" s="4">
        <v>3.3</v>
      </c>
      <c r="E217" s="4">
        <v>7.95</v>
      </c>
      <c r="F217" s="4">
        <v>10.199999999999999</v>
      </c>
      <c r="G217" s="4">
        <v>8</v>
      </c>
      <c r="H217" s="4">
        <v>8</v>
      </c>
      <c r="I217" s="4">
        <v>23</v>
      </c>
      <c r="J217" s="6" t="s">
        <v>1217</v>
      </c>
      <c r="K217" s="4">
        <v>0.09</v>
      </c>
      <c r="L217" s="4">
        <v>-0.06</v>
      </c>
      <c r="M217" s="4">
        <v>0.08</v>
      </c>
      <c r="N217" s="4">
        <v>0.1</v>
      </c>
      <c r="O217" s="4">
        <v>6</v>
      </c>
      <c r="P217" s="4">
        <v>202</v>
      </c>
    </row>
    <row r="218" spans="2:16" x14ac:dyDescent="0.3">
      <c r="B218" s="6" t="s">
        <v>1218</v>
      </c>
      <c r="C218" s="4">
        <v>8.3000000000000007</v>
      </c>
      <c r="D218" s="4">
        <v>2.75</v>
      </c>
      <c r="E218" s="4">
        <v>8.3000000000000007</v>
      </c>
      <c r="F218" s="4">
        <v>9.15</v>
      </c>
      <c r="G218" s="4">
        <v>12</v>
      </c>
      <c r="H218" s="4">
        <v>100</v>
      </c>
      <c r="I218" s="4">
        <v>24</v>
      </c>
      <c r="J218" s="6" t="s">
        <v>1219</v>
      </c>
      <c r="K218" s="4">
        <v>0.1</v>
      </c>
      <c r="L218" s="4">
        <v>-0.05</v>
      </c>
      <c r="M218" s="4">
        <v>0.06</v>
      </c>
      <c r="N218" s="4">
        <v>0.1</v>
      </c>
      <c r="O218" s="4">
        <v>2</v>
      </c>
      <c r="P218" s="4">
        <v>761</v>
      </c>
    </row>
    <row r="219" spans="2:16" x14ac:dyDescent="0.3">
      <c r="B219" s="6" t="s">
        <v>1220</v>
      </c>
      <c r="C219" s="4">
        <v>6.45</v>
      </c>
      <c r="D219" s="4">
        <v>0</v>
      </c>
      <c r="E219" s="4">
        <v>6.85</v>
      </c>
      <c r="F219" s="4">
        <v>8.1999999999999993</v>
      </c>
      <c r="G219" s="4">
        <v>66</v>
      </c>
      <c r="H219" s="4">
        <v>63</v>
      </c>
      <c r="I219" s="4">
        <v>25</v>
      </c>
      <c r="J219" s="6" t="s">
        <v>1221</v>
      </c>
      <c r="K219" s="4">
        <v>0.12</v>
      </c>
      <c r="L219" s="4">
        <v>-0.02</v>
      </c>
      <c r="M219" s="4">
        <v>0.1</v>
      </c>
      <c r="N219" s="4">
        <v>0.13</v>
      </c>
      <c r="O219" s="4">
        <v>102</v>
      </c>
      <c r="P219" s="4">
        <v>6680</v>
      </c>
    </row>
    <row r="220" spans="2:16" x14ac:dyDescent="0.3">
      <c r="B220" s="6" t="s">
        <v>1222</v>
      </c>
      <c r="C220" s="4">
        <v>6.2</v>
      </c>
      <c r="D220" s="4">
        <v>0</v>
      </c>
      <c r="E220" s="4">
        <v>6.25</v>
      </c>
      <c r="F220" s="4">
        <v>7</v>
      </c>
      <c r="G220" s="4">
        <v>4</v>
      </c>
      <c r="H220" s="4">
        <v>8</v>
      </c>
      <c r="I220" s="4">
        <v>26</v>
      </c>
      <c r="J220" s="6" t="s">
        <v>1223</v>
      </c>
      <c r="K220" s="4">
        <v>0.15</v>
      </c>
      <c r="L220" s="4">
        <v>-0.1</v>
      </c>
      <c r="M220" s="4">
        <v>0.15</v>
      </c>
      <c r="N220" s="4">
        <v>0.18</v>
      </c>
      <c r="O220" s="4">
        <v>200</v>
      </c>
      <c r="P220" s="4">
        <v>1235</v>
      </c>
    </row>
    <row r="221" spans="2:16" x14ac:dyDescent="0.3">
      <c r="B221" s="6" t="s">
        <v>1224</v>
      </c>
      <c r="C221" s="4">
        <v>5.2</v>
      </c>
      <c r="D221" s="4">
        <v>0</v>
      </c>
      <c r="E221" s="4">
        <v>5.2</v>
      </c>
      <c r="F221" s="4">
        <v>5.95</v>
      </c>
      <c r="G221" s="4">
        <v>2</v>
      </c>
      <c r="H221" s="4">
        <v>21</v>
      </c>
      <c r="I221" s="4">
        <v>27</v>
      </c>
      <c r="J221" s="6" t="s">
        <v>1225</v>
      </c>
      <c r="K221" s="4">
        <v>0.24</v>
      </c>
      <c r="L221" s="4">
        <v>-0.03</v>
      </c>
      <c r="M221" s="4">
        <v>0.21</v>
      </c>
      <c r="N221" s="4">
        <v>0.26</v>
      </c>
      <c r="O221" s="4">
        <v>220</v>
      </c>
      <c r="P221" s="4">
        <v>5225</v>
      </c>
    </row>
    <row r="222" spans="2:16" x14ac:dyDescent="0.3">
      <c r="B222" s="6" t="s">
        <v>1226</v>
      </c>
      <c r="C222" s="4">
        <v>4.75</v>
      </c>
      <c r="D222" s="4">
        <v>-0.28000000000000003</v>
      </c>
      <c r="E222" s="4">
        <v>4.3499999999999996</v>
      </c>
      <c r="F222" s="4">
        <v>4.9000000000000004</v>
      </c>
      <c r="G222" s="4">
        <v>85</v>
      </c>
      <c r="H222" s="4">
        <v>227</v>
      </c>
      <c r="I222" s="4">
        <v>28</v>
      </c>
      <c r="J222" s="6" t="s">
        <v>1227</v>
      </c>
      <c r="K222" s="4">
        <v>0.32</v>
      </c>
      <c r="L222" s="4">
        <v>-0.04</v>
      </c>
      <c r="M222" s="4">
        <v>0.32</v>
      </c>
      <c r="N222" s="4">
        <v>0.36</v>
      </c>
      <c r="O222" s="4">
        <v>202</v>
      </c>
      <c r="P222" s="4">
        <v>3267</v>
      </c>
    </row>
    <row r="223" spans="2:16" x14ac:dyDescent="0.3">
      <c r="B223" s="6" t="s">
        <v>1228</v>
      </c>
      <c r="C223" s="4">
        <v>3.8</v>
      </c>
      <c r="D223" s="4">
        <v>0.18</v>
      </c>
      <c r="E223" s="4">
        <v>3.75</v>
      </c>
      <c r="F223" s="4">
        <v>4.05</v>
      </c>
      <c r="G223" s="4">
        <v>30</v>
      </c>
      <c r="H223" s="4">
        <v>2399</v>
      </c>
      <c r="I223" s="4">
        <v>29</v>
      </c>
      <c r="J223" s="6" t="s">
        <v>1229</v>
      </c>
      <c r="K223" s="4">
        <v>0.47</v>
      </c>
      <c r="L223" s="4">
        <v>-0.05</v>
      </c>
      <c r="M223" s="4">
        <v>0.46</v>
      </c>
      <c r="N223" s="4">
        <v>0.51</v>
      </c>
      <c r="O223" s="4">
        <v>11</v>
      </c>
      <c r="P223" s="4">
        <v>10331</v>
      </c>
    </row>
    <row r="224" spans="2:16" x14ac:dyDescent="0.3">
      <c r="B224" s="6" t="s">
        <v>1230</v>
      </c>
      <c r="C224" s="4">
        <v>3</v>
      </c>
      <c r="D224" s="4">
        <v>0.22</v>
      </c>
      <c r="E224" s="4">
        <v>2.91</v>
      </c>
      <c r="F224" s="4">
        <v>3</v>
      </c>
      <c r="G224" s="4">
        <v>4</v>
      </c>
      <c r="H224" s="4">
        <v>6904</v>
      </c>
      <c r="I224" s="4">
        <v>30</v>
      </c>
      <c r="J224" s="6" t="s">
        <v>1231</v>
      </c>
      <c r="K224" s="4">
        <v>0.68</v>
      </c>
      <c r="L224" s="4">
        <v>-7.0000000000000007E-2</v>
      </c>
      <c r="M224" s="4">
        <v>0.67</v>
      </c>
      <c r="N224" s="4">
        <v>0.71</v>
      </c>
      <c r="O224" s="4">
        <v>16</v>
      </c>
      <c r="P224" s="4">
        <v>51101</v>
      </c>
    </row>
    <row r="225" spans="2:16" x14ac:dyDescent="0.3">
      <c r="B225" s="6" t="s">
        <v>1232</v>
      </c>
      <c r="C225" s="4">
        <v>2.2200000000000002</v>
      </c>
      <c r="D225" s="4">
        <v>0.19</v>
      </c>
      <c r="E225" s="4">
        <v>2.15</v>
      </c>
      <c r="F225" s="4">
        <v>2.2200000000000002</v>
      </c>
      <c r="G225" s="4">
        <v>114</v>
      </c>
      <c r="H225" s="4">
        <v>17282</v>
      </c>
      <c r="I225" s="4">
        <v>31</v>
      </c>
      <c r="J225" s="6" t="s">
        <v>1233</v>
      </c>
      <c r="K225" s="4">
        <v>0.96</v>
      </c>
      <c r="L225" s="4">
        <v>-0.04</v>
      </c>
      <c r="M225" s="4">
        <v>0.95</v>
      </c>
      <c r="N225" s="4">
        <v>1</v>
      </c>
      <c r="O225" s="4">
        <v>26</v>
      </c>
      <c r="P225" s="4">
        <v>2146</v>
      </c>
    </row>
    <row r="226" spans="2:16" x14ac:dyDescent="0.3">
      <c r="B226" s="6" t="s">
        <v>1234</v>
      </c>
      <c r="C226" s="4">
        <v>1.58</v>
      </c>
      <c r="D226" s="4">
        <v>0.2</v>
      </c>
      <c r="E226" s="4">
        <v>1.52</v>
      </c>
      <c r="F226" s="4">
        <v>1.58</v>
      </c>
      <c r="G226" s="4">
        <v>4</v>
      </c>
      <c r="H226" s="4">
        <v>14994</v>
      </c>
      <c r="I226" s="4">
        <v>32</v>
      </c>
      <c r="J226" s="6" t="s">
        <v>1235</v>
      </c>
      <c r="K226" s="4">
        <v>1.28</v>
      </c>
      <c r="L226" s="4">
        <v>-7.0000000000000007E-2</v>
      </c>
      <c r="M226" s="4">
        <v>1.34</v>
      </c>
      <c r="N226" s="4">
        <v>1.39</v>
      </c>
      <c r="O226" s="4">
        <v>8</v>
      </c>
      <c r="P226" s="4">
        <v>2899</v>
      </c>
    </row>
    <row r="227" spans="2:16" x14ac:dyDescent="0.3">
      <c r="B227" s="6" t="s">
        <v>1236</v>
      </c>
      <c r="C227" s="4">
        <v>1.04</v>
      </c>
      <c r="D227" s="4">
        <v>0.12</v>
      </c>
      <c r="E227" s="4">
        <v>1</v>
      </c>
      <c r="F227" s="4">
        <v>1.06</v>
      </c>
      <c r="G227" s="4">
        <v>82</v>
      </c>
      <c r="H227" s="4">
        <v>21694</v>
      </c>
      <c r="I227" s="4">
        <v>33</v>
      </c>
      <c r="J227" s="6" t="s">
        <v>1237</v>
      </c>
      <c r="K227" s="4">
        <v>1.85</v>
      </c>
      <c r="L227" s="4">
        <v>0</v>
      </c>
      <c r="M227" s="4">
        <v>1.91</v>
      </c>
      <c r="N227" s="4">
        <v>1.99</v>
      </c>
      <c r="O227" s="4">
        <v>27</v>
      </c>
      <c r="P227" s="4">
        <v>523</v>
      </c>
    </row>
    <row r="228" spans="2:16" x14ac:dyDescent="0.3">
      <c r="B228" s="6" t="s">
        <v>1238</v>
      </c>
      <c r="C228" s="4">
        <v>0.68</v>
      </c>
      <c r="D228" s="4">
        <v>0.13</v>
      </c>
      <c r="E228" s="4">
        <v>0.61</v>
      </c>
      <c r="F228" s="4">
        <v>0.66</v>
      </c>
      <c r="G228" s="4">
        <v>101</v>
      </c>
      <c r="H228" s="4">
        <v>18157</v>
      </c>
      <c r="I228" s="4">
        <v>34</v>
      </c>
      <c r="J228" s="6" t="s">
        <v>1239</v>
      </c>
      <c r="K228" s="4">
        <v>2.4700000000000002</v>
      </c>
      <c r="L228" s="4">
        <v>-0.26</v>
      </c>
      <c r="M228" s="4">
        <v>2.56</v>
      </c>
      <c r="N228" s="4">
        <v>2.63</v>
      </c>
      <c r="O228" s="4">
        <v>25</v>
      </c>
      <c r="P228" s="4">
        <v>295</v>
      </c>
    </row>
    <row r="229" spans="2:16" x14ac:dyDescent="0.3">
      <c r="B229" s="6" t="s">
        <v>1240</v>
      </c>
      <c r="C229" s="4">
        <v>0.37</v>
      </c>
      <c r="D229" s="4">
        <v>0.04</v>
      </c>
      <c r="E229" s="4">
        <v>0.35</v>
      </c>
      <c r="F229" s="4">
        <v>0.4</v>
      </c>
      <c r="G229" s="4">
        <v>108</v>
      </c>
      <c r="H229" s="4">
        <v>3530</v>
      </c>
      <c r="I229" s="4">
        <v>35</v>
      </c>
      <c r="J229" s="6" t="s">
        <v>1241</v>
      </c>
      <c r="K229" s="4">
        <v>3.6</v>
      </c>
      <c r="L229" s="4">
        <v>0</v>
      </c>
      <c r="M229" s="4">
        <v>3.25</v>
      </c>
      <c r="N229" s="4">
        <v>3.55</v>
      </c>
      <c r="O229" s="4">
        <v>7</v>
      </c>
      <c r="P229" s="4">
        <v>1540</v>
      </c>
    </row>
    <row r="230" spans="2:16" x14ac:dyDescent="0.3">
      <c r="B230" s="6" t="s">
        <v>1242</v>
      </c>
      <c r="C230" s="4">
        <v>0.22</v>
      </c>
      <c r="D230" s="4">
        <v>0.04</v>
      </c>
      <c r="E230" s="4">
        <v>0.2</v>
      </c>
      <c r="F230" s="4">
        <v>0.23</v>
      </c>
      <c r="G230" s="4">
        <v>55</v>
      </c>
      <c r="H230" s="4">
        <v>1715</v>
      </c>
      <c r="I230" s="4">
        <v>36</v>
      </c>
      <c r="J230" s="6" t="s">
        <v>1243</v>
      </c>
      <c r="K230" s="4">
        <v>4.1500000000000004</v>
      </c>
      <c r="L230" s="4">
        <v>0</v>
      </c>
      <c r="M230" s="4">
        <v>4.1500000000000004</v>
      </c>
      <c r="N230" s="4">
        <v>4.25</v>
      </c>
      <c r="O230" s="4">
        <v>26</v>
      </c>
      <c r="P230" s="4">
        <v>26</v>
      </c>
    </row>
    <row r="231" spans="2:16" x14ac:dyDescent="0.3">
      <c r="B231" s="6" t="s">
        <v>1244</v>
      </c>
      <c r="C231" s="4">
        <v>0.13</v>
      </c>
      <c r="D231" s="4">
        <v>0.02</v>
      </c>
      <c r="E231" s="4">
        <v>0.1</v>
      </c>
      <c r="F231" s="4">
        <v>0.13</v>
      </c>
      <c r="G231" s="4">
        <v>49</v>
      </c>
      <c r="H231" s="4">
        <v>385</v>
      </c>
      <c r="I231" s="4">
        <v>37</v>
      </c>
      <c r="J231" s="6" t="s">
        <v>1245</v>
      </c>
      <c r="K231" s="4">
        <v>0</v>
      </c>
      <c r="L231" s="4">
        <v>0</v>
      </c>
      <c r="M231" s="4">
        <v>7.25</v>
      </c>
      <c r="N231" s="4">
        <v>8.25</v>
      </c>
      <c r="O231" s="4">
        <v>0</v>
      </c>
      <c r="P231" s="4">
        <v>0</v>
      </c>
    </row>
    <row r="232" spans="2:16" x14ac:dyDescent="0.3">
      <c r="B232" s="6" t="s">
        <v>1246</v>
      </c>
      <c r="C232" s="4">
        <v>7.0000000000000007E-2</v>
      </c>
      <c r="D232" s="4">
        <v>0.01</v>
      </c>
      <c r="E232" s="4">
        <v>0.05</v>
      </c>
      <c r="F232" s="4">
        <v>7.0000000000000007E-2</v>
      </c>
      <c r="G232" s="4">
        <v>1</v>
      </c>
      <c r="H232" s="4">
        <v>62</v>
      </c>
      <c r="I232" s="4">
        <v>38</v>
      </c>
      <c r="J232" s="6" t="s">
        <v>1247</v>
      </c>
      <c r="K232" s="4">
        <v>0</v>
      </c>
      <c r="L232" s="4">
        <v>0</v>
      </c>
      <c r="M232" s="4">
        <v>7.15</v>
      </c>
      <c r="N232" s="4">
        <v>10.8</v>
      </c>
      <c r="O232" s="4">
        <v>0</v>
      </c>
      <c r="P232" s="4">
        <v>0</v>
      </c>
    </row>
    <row r="233" spans="2:16" x14ac:dyDescent="0.3">
      <c r="B233" s="6" t="s">
        <v>1248</v>
      </c>
      <c r="C233" s="4">
        <v>0.04</v>
      </c>
      <c r="D233" s="4">
        <v>0</v>
      </c>
      <c r="E233" s="4">
        <v>0.02</v>
      </c>
      <c r="F233" s="4">
        <v>0.05</v>
      </c>
      <c r="G233" s="4">
        <v>5</v>
      </c>
      <c r="H233" s="4">
        <v>197</v>
      </c>
      <c r="I233" s="4">
        <v>39</v>
      </c>
      <c r="J233" s="6" t="s">
        <v>1249</v>
      </c>
      <c r="K233" s="4">
        <v>10.210000000000001</v>
      </c>
      <c r="L233" s="4">
        <v>0</v>
      </c>
      <c r="M233" s="4">
        <v>8.4</v>
      </c>
      <c r="N233" s="4">
        <v>11.05</v>
      </c>
      <c r="O233" s="4">
        <v>80</v>
      </c>
      <c r="P233" s="4">
        <v>85</v>
      </c>
    </row>
    <row r="234" spans="2:16" x14ac:dyDescent="0.3">
      <c r="B234" s="6" t="s">
        <v>1250</v>
      </c>
      <c r="C234" s="4">
        <v>0.03</v>
      </c>
      <c r="D234" s="4">
        <v>0.01</v>
      </c>
      <c r="E234" s="4">
        <v>0.01</v>
      </c>
      <c r="F234" s="4">
        <v>0.03</v>
      </c>
      <c r="G234" s="4">
        <v>4</v>
      </c>
      <c r="H234" s="4">
        <v>510</v>
      </c>
      <c r="I234" s="4">
        <v>40</v>
      </c>
      <c r="J234" s="6" t="s">
        <v>1251</v>
      </c>
      <c r="K234" s="4">
        <v>9.64</v>
      </c>
      <c r="L234" s="4">
        <v>0</v>
      </c>
      <c r="M234" s="4">
        <v>8.5</v>
      </c>
      <c r="N234" s="4">
        <v>10.75</v>
      </c>
      <c r="O234" s="4">
        <v>0</v>
      </c>
      <c r="P234" s="4">
        <v>251</v>
      </c>
    </row>
    <row r="235" spans="2:16" x14ac:dyDescent="0.3">
      <c r="B235" s="6" t="s">
        <v>1252</v>
      </c>
      <c r="C235" s="4">
        <v>0.04</v>
      </c>
      <c r="D235" s="4">
        <v>-7.0000000000000007E-2</v>
      </c>
      <c r="E235" s="4">
        <v>0.03</v>
      </c>
      <c r="F235" s="4">
        <v>0.05</v>
      </c>
      <c r="G235" s="4">
        <v>16</v>
      </c>
      <c r="H235" s="4">
        <v>60</v>
      </c>
      <c r="I235" s="4">
        <v>41</v>
      </c>
      <c r="J235" s="6" t="s">
        <v>1253</v>
      </c>
      <c r="K235" s="4">
        <v>0</v>
      </c>
      <c r="L235" s="4">
        <v>0</v>
      </c>
      <c r="M235" s="4">
        <v>11.55</v>
      </c>
      <c r="N235" s="4">
        <v>12.15</v>
      </c>
      <c r="O235" s="4">
        <v>0</v>
      </c>
      <c r="P235" s="4">
        <v>0</v>
      </c>
    </row>
    <row r="236" spans="2:16" x14ac:dyDescent="0.3">
      <c r="B236" s="6" t="s">
        <v>1254</v>
      </c>
      <c r="C236" s="4">
        <v>0.03</v>
      </c>
      <c r="D236" s="4">
        <v>0.01</v>
      </c>
      <c r="E236" s="4">
        <v>0.01</v>
      </c>
      <c r="F236" s="4">
        <v>0.04</v>
      </c>
      <c r="G236" s="4">
        <v>17</v>
      </c>
      <c r="H236" s="4">
        <v>112</v>
      </c>
      <c r="I236" s="4">
        <v>42</v>
      </c>
      <c r="J236" s="6" t="s">
        <v>1255</v>
      </c>
      <c r="K236" s="4">
        <v>0</v>
      </c>
      <c r="L236" s="4">
        <v>0</v>
      </c>
      <c r="M236" s="4">
        <v>12.55</v>
      </c>
      <c r="N236" s="4">
        <v>13.1</v>
      </c>
      <c r="O236" s="4">
        <v>0</v>
      </c>
      <c r="P236" s="4">
        <v>0</v>
      </c>
    </row>
    <row r="237" spans="2:16" x14ac:dyDescent="0.3">
      <c r="B237" s="6" t="s">
        <v>1256</v>
      </c>
      <c r="C237" s="4">
        <v>0</v>
      </c>
      <c r="D237" s="4">
        <v>0</v>
      </c>
      <c r="E237" s="4">
        <v>0</v>
      </c>
      <c r="F237" s="4">
        <v>0.04</v>
      </c>
      <c r="G237" s="4">
        <v>0</v>
      </c>
      <c r="H237" s="4">
        <v>0</v>
      </c>
      <c r="I237" s="4">
        <v>43</v>
      </c>
      <c r="J237" s="6" t="s">
        <v>1257</v>
      </c>
      <c r="K237" s="4">
        <v>0</v>
      </c>
      <c r="L237" s="4">
        <v>0</v>
      </c>
      <c r="M237" s="4">
        <v>13.55</v>
      </c>
      <c r="N237" s="4">
        <v>14.1</v>
      </c>
      <c r="O237" s="4">
        <v>0</v>
      </c>
      <c r="P237" s="4">
        <v>0</v>
      </c>
    </row>
    <row r="238" spans="2:16" x14ac:dyDescent="0.3">
      <c r="B238" s="6" t="s">
        <v>1258</v>
      </c>
      <c r="C238" s="4">
        <v>0</v>
      </c>
      <c r="D238" s="4">
        <v>0</v>
      </c>
      <c r="E238" s="4">
        <v>0</v>
      </c>
      <c r="F238" s="4">
        <v>0.04</v>
      </c>
      <c r="G238" s="4">
        <v>0</v>
      </c>
      <c r="H238" s="4">
        <v>0</v>
      </c>
      <c r="I238" s="4">
        <v>44</v>
      </c>
      <c r="J238" s="6" t="s">
        <v>1259</v>
      </c>
      <c r="K238" s="4">
        <v>0</v>
      </c>
      <c r="L238" s="4">
        <v>0</v>
      </c>
      <c r="M238" s="4">
        <v>14.55</v>
      </c>
      <c r="N238" s="4">
        <v>15.1</v>
      </c>
      <c r="O238" s="4">
        <v>0</v>
      </c>
      <c r="P238" s="4">
        <v>0</v>
      </c>
    </row>
    <row r="239" spans="2:16" x14ac:dyDescent="0.3">
      <c r="B239" s="6" t="s">
        <v>1260</v>
      </c>
      <c r="C239" s="4">
        <v>0.04</v>
      </c>
      <c r="D239" s="4">
        <v>0</v>
      </c>
      <c r="E239" s="4">
        <v>0</v>
      </c>
      <c r="F239" s="4">
        <v>0.04</v>
      </c>
      <c r="G239" s="4">
        <v>0</v>
      </c>
      <c r="H239" s="4">
        <v>9</v>
      </c>
      <c r="I239" s="4">
        <v>45</v>
      </c>
      <c r="J239" s="6" t="s">
        <v>1261</v>
      </c>
      <c r="K239" s="4">
        <v>0</v>
      </c>
      <c r="L239" s="4">
        <v>0</v>
      </c>
      <c r="M239" s="4">
        <v>15.55</v>
      </c>
      <c r="N239" s="4">
        <v>16.100000000000001</v>
      </c>
      <c r="O239" s="4">
        <v>0</v>
      </c>
      <c r="P239" s="4">
        <v>0</v>
      </c>
    </row>
    <row r="240" spans="2:16" x14ac:dyDescent="0.3">
      <c r="B240" s="6" t="s">
        <v>1262</v>
      </c>
      <c r="C240" s="4" t="s">
        <v>366</v>
      </c>
      <c r="D240" s="4" t="s">
        <v>366</v>
      </c>
      <c r="E240" s="4" t="s">
        <v>366</v>
      </c>
      <c r="F240" s="4" t="s">
        <v>366</v>
      </c>
      <c r="G240" s="4" t="s">
        <v>366</v>
      </c>
      <c r="H240" s="4" t="s">
        <v>366</v>
      </c>
      <c r="I240" s="4">
        <v>17</v>
      </c>
      <c r="J240" s="6" t="s">
        <v>1263</v>
      </c>
      <c r="K240" s="4">
        <v>0.05</v>
      </c>
      <c r="L240" s="4">
        <v>0.01</v>
      </c>
      <c r="M240" s="4">
        <v>0.04</v>
      </c>
      <c r="N240" s="4">
        <v>7.0000000000000007E-2</v>
      </c>
      <c r="O240" s="4">
        <v>5</v>
      </c>
      <c r="P240" s="4">
        <v>508</v>
      </c>
    </row>
    <row r="241" spans="2:16" x14ac:dyDescent="0.3">
      <c r="B241" s="6" t="s">
        <v>1264</v>
      </c>
      <c r="C241" s="4">
        <v>0</v>
      </c>
      <c r="D241" s="4">
        <v>0</v>
      </c>
      <c r="E241" s="4">
        <v>11.3</v>
      </c>
      <c r="F241" s="4">
        <v>12.25</v>
      </c>
      <c r="G241" s="4">
        <v>0</v>
      </c>
      <c r="H241" s="4">
        <v>0</v>
      </c>
      <c r="I241" s="4">
        <v>18</v>
      </c>
      <c r="J241" s="6" t="s">
        <v>1265</v>
      </c>
      <c r="K241" s="4">
        <v>0.08</v>
      </c>
      <c r="L241" s="4">
        <v>-0.04</v>
      </c>
      <c r="M241" s="4">
        <v>0.05</v>
      </c>
      <c r="N241" s="4">
        <v>0.08</v>
      </c>
      <c r="O241" s="4">
        <v>8</v>
      </c>
      <c r="P241" s="4">
        <v>105</v>
      </c>
    </row>
    <row r="242" spans="2:16" x14ac:dyDescent="0.3">
      <c r="B242" s="6" t="s">
        <v>1266</v>
      </c>
      <c r="C242" s="4">
        <v>11.5</v>
      </c>
      <c r="D242" s="4">
        <v>0</v>
      </c>
      <c r="E242" s="4">
        <v>10.85</v>
      </c>
      <c r="F242" s="4">
        <v>14.9</v>
      </c>
      <c r="G242" s="4">
        <v>40</v>
      </c>
      <c r="H242" s="4">
        <v>20</v>
      </c>
      <c r="I242" s="4">
        <v>20</v>
      </c>
      <c r="J242" s="6" t="s">
        <v>1267</v>
      </c>
      <c r="K242" s="4">
        <v>0.09</v>
      </c>
      <c r="L242" s="4">
        <v>-0.01</v>
      </c>
      <c r="M242" s="4">
        <v>7.0000000000000007E-2</v>
      </c>
      <c r="N242" s="4">
        <v>0.1</v>
      </c>
      <c r="O242" s="4">
        <v>5</v>
      </c>
      <c r="P242" s="4">
        <v>155</v>
      </c>
    </row>
    <row r="243" spans="2:16" x14ac:dyDescent="0.3">
      <c r="B243" s="6" t="s">
        <v>1268</v>
      </c>
      <c r="C243" s="4" t="s">
        <v>366</v>
      </c>
      <c r="D243" s="4" t="s">
        <v>366</v>
      </c>
      <c r="E243" s="4" t="s">
        <v>366</v>
      </c>
      <c r="F243" s="4" t="s">
        <v>366</v>
      </c>
      <c r="G243" s="4" t="s">
        <v>366</v>
      </c>
      <c r="H243" s="4" t="s">
        <v>366</v>
      </c>
      <c r="I243" s="4">
        <v>21</v>
      </c>
      <c r="J243" s="6" t="s">
        <v>1269</v>
      </c>
      <c r="K243" s="4">
        <v>0.27</v>
      </c>
      <c r="L243" s="4">
        <v>0</v>
      </c>
      <c r="M243" s="4">
        <v>0.24</v>
      </c>
      <c r="N243" s="4">
        <v>0.28000000000000003</v>
      </c>
      <c r="O243" s="4">
        <v>13</v>
      </c>
      <c r="P243" s="4">
        <v>0</v>
      </c>
    </row>
    <row r="244" spans="2:16" x14ac:dyDescent="0.3">
      <c r="B244" s="6" t="s">
        <v>1270</v>
      </c>
      <c r="C244" s="4">
        <v>10.75</v>
      </c>
      <c r="D244" s="4">
        <v>2.65</v>
      </c>
      <c r="E244" s="4">
        <v>10.6</v>
      </c>
      <c r="F244" s="4">
        <v>11.45</v>
      </c>
      <c r="G244" s="4">
        <v>2</v>
      </c>
      <c r="H244" s="4">
        <v>5</v>
      </c>
      <c r="I244" s="4">
        <v>22</v>
      </c>
      <c r="J244" s="6" t="s">
        <v>1271</v>
      </c>
      <c r="K244" s="4">
        <v>0.15</v>
      </c>
      <c r="L244" s="4">
        <v>0</v>
      </c>
      <c r="M244" s="4">
        <v>0.15</v>
      </c>
      <c r="N244" s="4">
        <v>0.17</v>
      </c>
      <c r="O244" s="4">
        <v>10</v>
      </c>
      <c r="P244" s="4">
        <v>5</v>
      </c>
    </row>
    <row r="245" spans="2:16" x14ac:dyDescent="0.3">
      <c r="B245" s="6" t="s">
        <v>1272</v>
      </c>
      <c r="C245" s="4">
        <v>6.2</v>
      </c>
      <c r="D245" s="4">
        <v>0</v>
      </c>
      <c r="E245" s="4">
        <v>6.8</v>
      </c>
      <c r="F245" s="4">
        <v>7.75</v>
      </c>
      <c r="G245" s="4">
        <v>21</v>
      </c>
      <c r="H245" s="4">
        <v>28</v>
      </c>
      <c r="I245" s="4">
        <v>23</v>
      </c>
      <c r="J245" s="6" t="s">
        <v>1273</v>
      </c>
      <c r="K245" s="4">
        <v>0.23</v>
      </c>
      <c r="L245" s="4">
        <v>0</v>
      </c>
      <c r="M245" s="4">
        <v>0.17</v>
      </c>
      <c r="N245" s="4">
        <v>0.21</v>
      </c>
      <c r="O245" s="4">
        <v>12</v>
      </c>
      <c r="P245" s="4">
        <v>375</v>
      </c>
    </row>
    <row r="246" spans="2:16" x14ac:dyDescent="0.3">
      <c r="B246" s="6" t="s">
        <v>1274</v>
      </c>
      <c r="C246" s="4" t="s">
        <v>366</v>
      </c>
      <c r="D246" s="4" t="s">
        <v>366</v>
      </c>
      <c r="E246" s="4" t="s">
        <v>366</v>
      </c>
      <c r="F246" s="4" t="s">
        <v>366</v>
      </c>
      <c r="G246" s="4" t="s">
        <v>366</v>
      </c>
      <c r="H246" s="4" t="s">
        <v>366</v>
      </c>
      <c r="I246" s="4">
        <v>24</v>
      </c>
      <c r="J246" s="6" t="s">
        <v>1275</v>
      </c>
      <c r="K246" s="4">
        <v>0.23</v>
      </c>
      <c r="L246" s="4">
        <v>0</v>
      </c>
      <c r="M246" s="4">
        <v>0.22</v>
      </c>
      <c r="N246" s="4">
        <v>0.27</v>
      </c>
      <c r="O246" s="4">
        <v>100</v>
      </c>
      <c r="P246" s="4">
        <v>157</v>
      </c>
    </row>
    <row r="247" spans="2:16" x14ac:dyDescent="0.3">
      <c r="B247" s="6" t="s">
        <v>1276</v>
      </c>
      <c r="C247" s="4">
        <v>8.0500000000000007</v>
      </c>
      <c r="D247" s="4">
        <v>0</v>
      </c>
      <c r="E247" s="4">
        <v>7.15</v>
      </c>
      <c r="F247" s="4">
        <v>8.1</v>
      </c>
      <c r="G247" s="4">
        <v>2</v>
      </c>
      <c r="H247" s="4">
        <v>167</v>
      </c>
      <c r="I247" s="4">
        <v>25</v>
      </c>
      <c r="J247" s="6" t="s">
        <v>1277</v>
      </c>
      <c r="K247" s="4">
        <v>0.28999999999999998</v>
      </c>
      <c r="L247" s="4">
        <v>-0.08</v>
      </c>
      <c r="M247" s="4">
        <v>0.28000000000000003</v>
      </c>
      <c r="N247" s="4">
        <v>0.32</v>
      </c>
      <c r="O247" s="4">
        <v>5</v>
      </c>
      <c r="P247" s="4">
        <v>917</v>
      </c>
    </row>
    <row r="248" spans="2:16" x14ac:dyDescent="0.3">
      <c r="B248" s="6" t="s">
        <v>1278</v>
      </c>
      <c r="C248" s="4" t="s">
        <v>366</v>
      </c>
      <c r="D248" s="4" t="s">
        <v>366</v>
      </c>
      <c r="E248" s="4" t="s">
        <v>366</v>
      </c>
      <c r="F248" s="4" t="s">
        <v>366</v>
      </c>
      <c r="G248" s="4" t="s">
        <v>366</v>
      </c>
      <c r="H248" s="4" t="s">
        <v>366</v>
      </c>
      <c r="I248" s="4">
        <v>26</v>
      </c>
      <c r="J248" s="6" t="s">
        <v>1279</v>
      </c>
      <c r="K248" s="4">
        <v>0.43</v>
      </c>
      <c r="L248" s="4">
        <v>0.01</v>
      </c>
      <c r="M248" s="4">
        <v>0.37</v>
      </c>
      <c r="N248" s="4">
        <v>0.41</v>
      </c>
      <c r="O248" s="4">
        <v>5</v>
      </c>
      <c r="P248" s="4">
        <v>808</v>
      </c>
    </row>
    <row r="249" spans="2:16" x14ac:dyDescent="0.3">
      <c r="B249" s="6" t="s">
        <v>1280</v>
      </c>
      <c r="C249" s="4">
        <v>5.8</v>
      </c>
      <c r="D249" s="4">
        <v>0</v>
      </c>
      <c r="E249" s="4">
        <v>5.4</v>
      </c>
      <c r="F249" s="4">
        <v>5.95</v>
      </c>
      <c r="G249" s="4">
        <v>1</v>
      </c>
      <c r="H249" s="4">
        <v>44</v>
      </c>
      <c r="I249" s="4">
        <v>27</v>
      </c>
      <c r="J249" s="6" t="s">
        <v>1281</v>
      </c>
      <c r="K249" s="4">
        <v>0.51</v>
      </c>
      <c r="L249" s="4">
        <v>-0.01</v>
      </c>
      <c r="M249" s="4">
        <v>0.49</v>
      </c>
      <c r="N249" s="4">
        <v>0.54</v>
      </c>
      <c r="O249" s="4">
        <v>3</v>
      </c>
      <c r="P249" s="4">
        <v>1752</v>
      </c>
    </row>
    <row r="250" spans="2:16" x14ac:dyDescent="0.3">
      <c r="B250" s="6" t="s">
        <v>1282</v>
      </c>
      <c r="C250" s="4">
        <v>4.5999999999999996</v>
      </c>
      <c r="D250" s="4">
        <v>1.31</v>
      </c>
      <c r="E250" s="4">
        <v>4.7</v>
      </c>
      <c r="F250" s="4">
        <v>5.35</v>
      </c>
      <c r="G250" s="4">
        <v>40</v>
      </c>
      <c r="H250" s="4">
        <v>84</v>
      </c>
      <c r="I250" s="4">
        <v>28</v>
      </c>
      <c r="J250" s="6" t="s">
        <v>1283</v>
      </c>
      <c r="K250" s="4">
        <v>0.9</v>
      </c>
      <c r="L250" s="4">
        <v>0</v>
      </c>
      <c r="M250" s="4">
        <v>0.71</v>
      </c>
      <c r="N250" s="4">
        <v>0.75</v>
      </c>
      <c r="O250" s="4">
        <v>20</v>
      </c>
      <c r="P250" s="4">
        <v>2138</v>
      </c>
    </row>
    <row r="251" spans="2:16" x14ac:dyDescent="0.3">
      <c r="B251" s="6" t="s">
        <v>1284</v>
      </c>
      <c r="C251" s="4">
        <v>4.1900000000000004</v>
      </c>
      <c r="D251" s="4">
        <v>0</v>
      </c>
      <c r="E251" s="4">
        <v>3.75</v>
      </c>
      <c r="F251" s="4">
        <v>4.25</v>
      </c>
      <c r="G251" s="4">
        <v>2</v>
      </c>
      <c r="H251" s="4">
        <v>425</v>
      </c>
      <c r="I251" s="4">
        <v>29</v>
      </c>
      <c r="J251" s="6" t="s">
        <v>1285</v>
      </c>
      <c r="K251" s="4">
        <v>0.89</v>
      </c>
      <c r="L251" s="4">
        <v>-7.0000000000000007E-2</v>
      </c>
      <c r="M251" s="4">
        <v>0.88</v>
      </c>
      <c r="N251" s="4">
        <v>0.94</v>
      </c>
      <c r="O251" s="4">
        <v>8</v>
      </c>
      <c r="P251" s="4">
        <v>554</v>
      </c>
    </row>
    <row r="252" spans="2:16" x14ac:dyDescent="0.3">
      <c r="B252" s="6" t="s">
        <v>1286</v>
      </c>
      <c r="C252" s="4">
        <v>3.15</v>
      </c>
      <c r="D252" s="4">
        <v>-0.15</v>
      </c>
      <c r="E252" s="4">
        <v>2.95</v>
      </c>
      <c r="F252" s="4">
        <v>3.45</v>
      </c>
      <c r="G252" s="4">
        <v>19</v>
      </c>
      <c r="H252" s="4">
        <v>2453</v>
      </c>
      <c r="I252" s="4">
        <v>30</v>
      </c>
      <c r="J252" s="6" t="s">
        <v>1287</v>
      </c>
      <c r="K252" s="4">
        <v>1.17</v>
      </c>
      <c r="L252" s="4">
        <v>-0.05</v>
      </c>
      <c r="M252" s="4">
        <v>1.1399999999999999</v>
      </c>
      <c r="N252" s="4">
        <v>1.22</v>
      </c>
      <c r="O252" s="4">
        <v>5</v>
      </c>
      <c r="P252" s="4">
        <v>653</v>
      </c>
    </row>
    <row r="253" spans="2:16" x14ac:dyDescent="0.3">
      <c r="B253" s="6" t="s">
        <v>1288</v>
      </c>
      <c r="C253" s="4">
        <v>2.59</v>
      </c>
      <c r="D253" s="4">
        <v>0.16</v>
      </c>
      <c r="E253" s="4">
        <v>2.5</v>
      </c>
      <c r="F253" s="4">
        <v>2.57</v>
      </c>
      <c r="G253" s="4">
        <v>1</v>
      </c>
      <c r="H253" s="4">
        <v>1408</v>
      </c>
      <c r="I253" s="4">
        <v>31</v>
      </c>
      <c r="J253" s="6" t="s">
        <v>1289</v>
      </c>
      <c r="K253" s="4">
        <v>1.51</v>
      </c>
      <c r="L253" s="4">
        <v>-0.04</v>
      </c>
      <c r="M253" s="4">
        <v>1.5</v>
      </c>
      <c r="N253" s="4">
        <v>1.57</v>
      </c>
      <c r="O253" s="4">
        <v>363</v>
      </c>
      <c r="P253" s="4">
        <v>62</v>
      </c>
    </row>
    <row r="254" spans="2:16" x14ac:dyDescent="0.3">
      <c r="B254" s="6" t="s">
        <v>1290</v>
      </c>
      <c r="C254" s="4">
        <v>2</v>
      </c>
      <c r="D254" s="4">
        <v>0.21</v>
      </c>
      <c r="E254" s="4">
        <v>1.9</v>
      </c>
      <c r="F254" s="4">
        <v>1.97</v>
      </c>
      <c r="G254" s="4">
        <v>5</v>
      </c>
      <c r="H254" s="4">
        <v>3997</v>
      </c>
      <c r="I254" s="4">
        <v>32</v>
      </c>
      <c r="J254" s="6" t="s">
        <v>1291</v>
      </c>
      <c r="K254" s="4">
        <v>1.97</v>
      </c>
      <c r="L254" s="4">
        <v>0</v>
      </c>
      <c r="M254" s="4">
        <v>2</v>
      </c>
      <c r="N254" s="4">
        <v>2.06</v>
      </c>
      <c r="O254" s="4">
        <v>9</v>
      </c>
      <c r="P254" s="4">
        <v>1571</v>
      </c>
    </row>
    <row r="255" spans="2:16" x14ac:dyDescent="0.3">
      <c r="B255" s="6" t="s">
        <v>1292</v>
      </c>
      <c r="C255" s="4">
        <v>1.44</v>
      </c>
      <c r="D255" s="4">
        <v>0.12</v>
      </c>
      <c r="E255" s="4">
        <v>1.4</v>
      </c>
      <c r="F255" s="4">
        <v>1.46</v>
      </c>
      <c r="G255" s="4">
        <v>14</v>
      </c>
      <c r="H255" s="4">
        <v>3220</v>
      </c>
      <c r="I255" s="4">
        <v>33</v>
      </c>
      <c r="J255" s="6" t="s">
        <v>1293</v>
      </c>
      <c r="K255" s="4">
        <v>2.48</v>
      </c>
      <c r="L255" s="4">
        <v>-0.04</v>
      </c>
      <c r="M255" s="4">
        <v>2.4300000000000002</v>
      </c>
      <c r="N255" s="4">
        <v>2.5499999999999998</v>
      </c>
      <c r="O255" s="4">
        <v>1</v>
      </c>
      <c r="P255" s="4">
        <v>96</v>
      </c>
    </row>
    <row r="256" spans="2:16" x14ac:dyDescent="0.3">
      <c r="B256" s="6" t="s">
        <v>1294</v>
      </c>
      <c r="C256" s="4">
        <v>1.05</v>
      </c>
      <c r="D256" s="4">
        <v>-0.01</v>
      </c>
      <c r="E256" s="4">
        <v>1</v>
      </c>
      <c r="F256" s="4">
        <v>1.05</v>
      </c>
      <c r="G256" s="4">
        <v>104</v>
      </c>
      <c r="H256" s="4">
        <v>1116</v>
      </c>
      <c r="I256" s="4">
        <v>34</v>
      </c>
      <c r="J256" s="6" t="s">
        <v>1295</v>
      </c>
      <c r="K256" s="4">
        <v>3.23</v>
      </c>
      <c r="L256" s="4">
        <v>-1.52</v>
      </c>
      <c r="M256" s="4">
        <v>3.2</v>
      </c>
      <c r="N256" s="4">
        <v>3.3</v>
      </c>
      <c r="O256" s="4">
        <v>3</v>
      </c>
      <c r="P256" s="4">
        <v>0</v>
      </c>
    </row>
    <row r="257" spans="2:16" x14ac:dyDescent="0.3">
      <c r="B257" s="6" t="s">
        <v>1296</v>
      </c>
      <c r="C257" s="4">
        <v>0.73</v>
      </c>
      <c r="D257" s="4">
        <v>0.08</v>
      </c>
      <c r="E257" s="4">
        <v>0.69</v>
      </c>
      <c r="F257" s="4">
        <v>0.73</v>
      </c>
      <c r="G257" s="4">
        <v>5</v>
      </c>
      <c r="H257" s="4">
        <v>1571</v>
      </c>
      <c r="I257" s="4">
        <v>35</v>
      </c>
      <c r="J257" s="6" t="s">
        <v>1297</v>
      </c>
      <c r="K257" s="4">
        <v>3.83</v>
      </c>
      <c r="L257" s="4">
        <v>0</v>
      </c>
      <c r="M257" s="4">
        <v>3.85</v>
      </c>
      <c r="N257" s="4">
        <v>3.95</v>
      </c>
      <c r="O257" s="4">
        <v>1</v>
      </c>
      <c r="P257" s="4">
        <v>18</v>
      </c>
    </row>
    <row r="258" spans="2:16" x14ac:dyDescent="0.3">
      <c r="B258" s="6" t="s">
        <v>1298</v>
      </c>
      <c r="C258" s="4">
        <v>0.52</v>
      </c>
      <c r="D258" s="4">
        <v>0.09</v>
      </c>
      <c r="E258" s="4">
        <v>0.46</v>
      </c>
      <c r="F258" s="4">
        <v>0.5</v>
      </c>
      <c r="G258" s="4">
        <v>7</v>
      </c>
      <c r="H258" s="4">
        <v>374</v>
      </c>
      <c r="I258" s="4">
        <v>36</v>
      </c>
      <c r="J258" s="6" t="s">
        <v>1299</v>
      </c>
      <c r="K258" s="4" t="s">
        <v>366</v>
      </c>
      <c r="L258" s="4" t="s">
        <v>366</v>
      </c>
      <c r="M258" s="4" t="s">
        <v>366</v>
      </c>
      <c r="N258" s="4" t="s">
        <v>366</v>
      </c>
      <c r="O258" s="4" t="s">
        <v>366</v>
      </c>
      <c r="P258" s="4" t="s">
        <v>366</v>
      </c>
    </row>
    <row r="259" spans="2:16" x14ac:dyDescent="0.3">
      <c r="B259" s="6" t="s">
        <v>1300</v>
      </c>
      <c r="C259" s="4">
        <v>0.33</v>
      </c>
      <c r="D259" s="4">
        <v>0.03</v>
      </c>
      <c r="E259" s="4">
        <v>0.28999999999999998</v>
      </c>
      <c r="F259" s="4">
        <v>0.33</v>
      </c>
      <c r="G259" s="4">
        <v>9</v>
      </c>
      <c r="H259" s="4">
        <v>844</v>
      </c>
      <c r="I259" s="4">
        <v>37</v>
      </c>
      <c r="J259" s="6" t="s">
        <v>1301</v>
      </c>
      <c r="K259" s="4">
        <v>0</v>
      </c>
      <c r="L259" s="4">
        <v>0</v>
      </c>
      <c r="M259" s="4">
        <v>7.65</v>
      </c>
      <c r="N259" s="4">
        <v>8.4</v>
      </c>
      <c r="O259" s="4">
        <v>0</v>
      </c>
      <c r="P259" s="4">
        <v>0</v>
      </c>
    </row>
    <row r="260" spans="2:16" x14ac:dyDescent="0.3">
      <c r="B260" s="6" t="s">
        <v>1302</v>
      </c>
      <c r="C260" s="4">
        <v>0.32</v>
      </c>
      <c r="D260" s="4">
        <v>0</v>
      </c>
      <c r="E260" s="4">
        <v>0.22</v>
      </c>
      <c r="F260" s="4">
        <v>0.26</v>
      </c>
      <c r="G260" s="4">
        <v>8</v>
      </c>
      <c r="H260" s="4">
        <v>98</v>
      </c>
      <c r="I260" s="4">
        <v>38</v>
      </c>
      <c r="J260" s="6" t="s">
        <v>1303</v>
      </c>
      <c r="K260" s="4" t="s">
        <v>366</v>
      </c>
      <c r="L260" s="4" t="s">
        <v>366</v>
      </c>
      <c r="M260" s="4" t="s">
        <v>366</v>
      </c>
      <c r="N260" s="4" t="s">
        <v>366</v>
      </c>
      <c r="O260" s="4" t="s">
        <v>366</v>
      </c>
      <c r="P260" s="4" t="s">
        <v>366</v>
      </c>
    </row>
    <row r="261" spans="2:16" x14ac:dyDescent="0.3">
      <c r="B261" s="6" t="s">
        <v>1304</v>
      </c>
      <c r="C261" s="4">
        <v>0.12</v>
      </c>
      <c r="D261" s="4">
        <v>-0.06</v>
      </c>
      <c r="E261" s="4">
        <v>0.11</v>
      </c>
      <c r="F261" s="4">
        <v>0.14000000000000001</v>
      </c>
      <c r="G261" s="4">
        <v>5</v>
      </c>
      <c r="H261" s="4">
        <v>1405</v>
      </c>
      <c r="I261" s="4">
        <v>39</v>
      </c>
      <c r="J261" s="6" t="s">
        <v>1305</v>
      </c>
      <c r="K261" s="4" t="s">
        <v>366</v>
      </c>
      <c r="L261" s="4" t="s">
        <v>366</v>
      </c>
      <c r="M261" s="4" t="s">
        <v>366</v>
      </c>
      <c r="N261" s="4" t="s">
        <v>366</v>
      </c>
      <c r="O261" s="4" t="s">
        <v>366</v>
      </c>
      <c r="P261" s="4" t="s">
        <v>366</v>
      </c>
    </row>
    <row r="262" spans="2:16" x14ac:dyDescent="0.3">
      <c r="B262" s="6" t="s">
        <v>1306</v>
      </c>
      <c r="C262" s="4">
        <v>0.1</v>
      </c>
      <c r="D262" s="4">
        <v>0</v>
      </c>
      <c r="E262" s="4">
        <v>0.15</v>
      </c>
      <c r="F262" s="4">
        <v>0.2</v>
      </c>
      <c r="G262" s="4">
        <v>55</v>
      </c>
      <c r="H262" s="4">
        <v>135</v>
      </c>
      <c r="I262" s="4">
        <v>40</v>
      </c>
      <c r="J262" s="6" t="s">
        <v>1307</v>
      </c>
      <c r="K262" s="4">
        <v>0</v>
      </c>
      <c r="L262" s="4">
        <v>0</v>
      </c>
      <c r="M262" s="4">
        <v>10.55</v>
      </c>
      <c r="N262" s="4">
        <v>11.35</v>
      </c>
      <c r="O262" s="4">
        <v>0</v>
      </c>
      <c r="P262" s="4">
        <v>0</v>
      </c>
    </row>
    <row r="263" spans="2:16" x14ac:dyDescent="0.3">
      <c r="B263" s="6" t="s">
        <v>1308</v>
      </c>
      <c r="C263" s="4">
        <v>0.05</v>
      </c>
      <c r="D263" s="4">
        <v>0</v>
      </c>
      <c r="E263" s="4">
        <v>0.03</v>
      </c>
      <c r="F263" s="4">
        <v>0.06</v>
      </c>
      <c r="G263" s="4">
        <v>5</v>
      </c>
      <c r="H263" s="4">
        <v>0</v>
      </c>
      <c r="I263" s="4">
        <v>42</v>
      </c>
      <c r="J263" s="6" t="s">
        <v>1309</v>
      </c>
      <c r="K263" s="4" t="s">
        <v>366</v>
      </c>
      <c r="L263" s="4" t="s">
        <v>366</v>
      </c>
      <c r="M263" s="4" t="s">
        <v>366</v>
      </c>
      <c r="N263" s="4" t="s">
        <v>366</v>
      </c>
      <c r="O263" s="4" t="s">
        <v>366</v>
      </c>
      <c r="P263" s="4" t="s">
        <v>366</v>
      </c>
    </row>
    <row r="264" spans="2:16" x14ac:dyDescent="0.3">
      <c r="B264" s="6" t="s">
        <v>1310</v>
      </c>
      <c r="C264" s="4">
        <v>11.64</v>
      </c>
      <c r="D264" s="4">
        <v>0</v>
      </c>
      <c r="E264" s="4">
        <v>10.4</v>
      </c>
      <c r="F264" s="4">
        <v>13.95</v>
      </c>
      <c r="G264" s="4">
        <v>0</v>
      </c>
      <c r="H264" s="4">
        <v>29</v>
      </c>
      <c r="I264" s="4">
        <v>18</v>
      </c>
      <c r="J264" s="6" t="s">
        <v>1311</v>
      </c>
      <c r="K264" s="4">
        <v>7.0000000000000007E-2</v>
      </c>
      <c r="L264" s="4">
        <v>0</v>
      </c>
      <c r="M264" s="4">
        <v>0.06</v>
      </c>
      <c r="N264" s="4">
        <v>0.09</v>
      </c>
      <c r="O264" s="4">
        <v>1</v>
      </c>
      <c r="P264" s="4">
        <v>8663</v>
      </c>
    </row>
    <row r="265" spans="2:16" x14ac:dyDescent="0.3">
      <c r="B265" s="6" t="s">
        <v>1312</v>
      </c>
      <c r="C265" s="4">
        <v>12.5</v>
      </c>
      <c r="D265" s="4">
        <v>0</v>
      </c>
      <c r="E265" s="4">
        <v>12.2</v>
      </c>
      <c r="F265" s="4">
        <v>12.85</v>
      </c>
      <c r="G265" s="4">
        <v>1</v>
      </c>
      <c r="H265" s="4">
        <v>594</v>
      </c>
      <c r="I265" s="4">
        <v>20</v>
      </c>
      <c r="J265" s="6" t="s">
        <v>1313</v>
      </c>
      <c r="K265" s="4">
        <v>0.11</v>
      </c>
      <c r="L265" s="4">
        <v>0</v>
      </c>
      <c r="M265" s="4">
        <v>0.09</v>
      </c>
      <c r="N265" s="4">
        <v>0.13</v>
      </c>
      <c r="O265" s="4">
        <v>10</v>
      </c>
      <c r="P265" s="4">
        <v>59442</v>
      </c>
    </row>
    <row r="266" spans="2:16" x14ac:dyDescent="0.3">
      <c r="B266" s="6" t="s">
        <v>1314</v>
      </c>
      <c r="C266" s="4">
        <v>9.48</v>
      </c>
      <c r="D266" s="4">
        <v>-0.05</v>
      </c>
      <c r="E266" s="4">
        <v>9.1999999999999993</v>
      </c>
      <c r="F266" s="4">
        <v>9.85</v>
      </c>
      <c r="G266" s="4">
        <v>1</v>
      </c>
      <c r="H266" s="4">
        <v>2553</v>
      </c>
      <c r="I266" s="4">
        <v>23</v>
      </c>
      <c r="J266" s="6" t="s">
        <v>1315</v>
      </c>
      <c r="K266" s="4">
        <v>0.23</v>
      </c>
      <c r="L266" s="4">
        <v>-0.03</v>
      </c>
      <c r="M266" s="4">
        <v>0.22</v>
      </c>
      <c r="N266" s="4">
        <v>0.24</v>
      </c>
      <c r="O266" s="4">
        <v>169</v>
      </c>
      <c r="P266" s="4">
        <v>24223</v>
      </c>
    </row>
    <row r="267" spans="2:16" x14ac:dyDescent="0.3">
      <c r="B267" s="6" t="s">
        <v>1316</v>
      </c>
      <c r="C267" s="4">
        <v>7.43</v>
      </c>
      <c r="D267" s="4">
        <v>0.13</v>
      </c>
      <c r="E267" s="4">
        <v>6.75</v>
      </c>
      <c r="F267" s="4">
        <v>8.0500000000000007</v>
      </c>
      <c r="G267" s="4">
        <v>2</v>
      </c>
      <c r="H267" s="4">
        <v>3111</v>
      </c>
      <c r="I267" s="4">
        <v>25</v>
      </c>
      <c r="J267" s="6" t="s">
        <v>1317</v>
      </c>
      <c r="K267" s="4">
        <v>0.38</v>
      </c>
      <c r="L267" s="4">
        <v>-0.03</v>
      </c>
      <c r="M267" s="4">
        <v>0.37</v>
      </c>
      <c r="N267" s="4">
        <v>0.39</v>
      </c>
      <c r="O267" s="4">
        <v>134</v>
      </c>
      <c r="P267" s="4">
        <v>46230</v>
      </c>
    </row>
    <row r="268" spans="2:16" x14ac:dyDescent="0.3">
      <c r="B268" s="6" t="s">
        <v>1318</v>
      </c>
      <c r="C268" s="4">
        <v>5</v>
      </c>
      <c r="D268" s="4">
        <v>0.25</v>
      </c>
      <c r="E268" s="4">
        <v>4.8499999999999996</v>
      </c>
      <c r="F268" s="4">
        <v>5</v>
      </c>
      <c r="G268" s="4">
        <v>2</v>
      </c>
      <c r="H268" s="4">
        <v>11796</v>
      </c>
      <c r="I268" s="4">
        <v>28</v>
      </c>
      <c r="J268" s="6" t="s">
        <v>1319</v>
      </c>
      <c r="K268" s="4">
        <v>0.81</v>
      </c>
      <c r="L268" s="4">
        <v>-7.0000000000000007E-2</v>
      </c>
      <c r="M268" s="4">
        <v>0.79</v>
      </c>
      <c r="N268" s="4">
        <v>0.83</v>
      </c>
      <c r="O268" s="4">
        <v>135</v>
      </c>
      <c r="P268" s="4">
        <v>188037</v>
      </c>
    </row>
    <row r="269" spans="2:16" x14ac:dyDescent="0.3">
      <c r="B269" s="6" t="s">
        <v>1320</v>
      </c>
      <c r="C269" s="4">
        <v>3.4</v>
      </c>
      <c r="D269" s="4">
        <v>0.21</v>
      </c>
      <c r="E269" s="4">
        <v>3.3</v>
      </c>
      <c r="F269" s="4">
        <v>3.4</v>
      </c>
      <c r="G269" s="4">
        <v>5</v>
      </c>
      <c r="H269" s="4">
        <v>71696</v>
      </c>
      <c r="I269" s="4">
        <v>30</v>
      </c>
      <c r="J269" s="6" t="s">
        <v>1321</v>
      </c>
      <c r="K269" s="4">
        <v>1.31</v>
      </c>
      <c r="L269" s="4">
        <v>-0.1</v>
      </c>
      <c r="M269" s="4">
        <v>1.31</v>
      </c>
      <c r="N269" s="4">
        <v>1.35</v>
      </c>
      <c r="O269" s="4">
        <v>204</v>
      </c>
      <c r="P269" s="4">
        <v>93827</v>
      </c>
    </row>
    <row r="270" spans="2:16" x14ac:dyDescent="0.3">
      <c r="B270" s="6" t="s">
        <v>1322</v>
      </c>
      <c r="C270" s="4">
        <v>2.08</v>
      </c>
      <c r="D270" s="4">
        <v>0.13</v>
      </c>
      <c r="E270" s="4">
        <v>2.0699999999999998</v>
      </c>
      <c r="F270" s="4">
        <v>2.11</v>
      </c>
      <c r="G270" s="4">
        <v>18</v>
      </c>
      <c r="H270" s="4">
        <v>125975</v>
      </c>
      <c r="I270" s="4">
        <v>32</v>
      </c>
      <c r="J270" s="6" t="s">
        <v>1323</v>
      </c>
      <c r="K270" s="4">
        <v>2.09</v>
      </c>
      <c r="L270" s="4">
        <v>-0.16</v>
      </c>
      <c r="M270" s="4">
        <v>2.11</v>
      </c>
      <c r="N270" s="4">
        <v>2.14</v>
      </c>
      <c r="O270" s="4">
        <v>26</v>
      </c>
      <c r="P270" s="4">
        <v>29022</v>
      </c>
    </row>
    <row r="271" spans="2:16" x14ac:dyDescent="0.3">
      <c r="B271" s="6" t="s">
        <v>1324</v>
      </c>
      <c r="C271" s="4">
        <v>0.87</v>
      </c>
      <c r="D271" s="4">
        <v>0.05</v>
      </c>
      <c r="E271" s="4">
        <v>0.84</v>
      </c>
      <c r="F271" s="4">
        <v>0.88</v>
      </c>
      <c r="G271" s="4">
        <v>290</v>
      </c>
      <c r="H271" s="4">
        <v>73543</v>
      </c>
      <c r="I271" s="4">
        <v>35</v>
      </c>
      <c r="J271" s="6" t="s">
        <v>1325</v>
      </c>
      <c r="K271" s="4">
        <v>3.96</v>
      </c>
      <c r="L271" s="4">
        <v>-0.12</v>
      </c>
      <c r="M271" s="4">
        <v>3.95</v>
      </c>
      <c r="N271" s="4">
        <v>4.05</v>
      </c>
      <c r="O271" s="4">
        <v>3</v>
      </c>
      <c r="P271" s="4">
        <v>18518</v>
      </c>
    </row>
    <row r="272" spans="2:16" x14ac:dyDescent="0.3">
      <c r="B272" s="6" t="s">
        <v>1326</v>
      </c>
      <c r="C272" s="4">
        <v>0.45</v>
      </c>
      <c r="D272" s="4">
        <v>0.04</v>
      </c>
      <c r="E272" s="4">
        <v>0.41</v>
      </c>
      <c r="F272" s="4">
        <v>0.44</v>
      </c>
      <c r="G272" s="4">
        <v>281</v>
      </c>
      <c r="H272" s="4">
        <v>43089</v>
      </c>
      <c r="I272" s="4">
        <v>37</v>
      </c>
      <c r="J272" s="6" t="s">
        <v>1327</v>
      </c>
      <c r="K272" s="4">
        <v>5.4</v>
      </c>
      <c r="L272" s="4">
        <v>-0.8</v>
      </c>
      <c r="M272" s="4">
        <v>5.35</v>
      </c>
      <c r="N272" s="4">
        <v>5.55</v>
      </c>
      <c r="O272" s="4">
        <v>1</v>
      </c>
      <c r="P272" s="4">
        <v>2204</v>
      </c>
    </row>
    <row r="273" spans="2:16" x14ac:dyDescent="0.3">
      <c r="B273" s="6" t="s">
        <v>1328</v>
      </c>
      <c r="C273" s="4">
        <v>0.17</v>
      </c>
      <c r="D273" s="4">
        <v>0.02</v>
      </c>
      <c r="E273" s="4">
        <v>0.13</v>
      </c>
      <c r="F273" s="4">
        <v>0.15</v>
      </c>
      <c r="G273" s="4">
        <v>87</v>
      </c>
      <c r="H273" s="4">
        <v>63576</v>
      </c>
      <c r="I273" s="4">
        <v>40</v>
      </c>
      <c r="J273" s="6" t="s">
        <v>1329</v>
      </c>
      <c r="K273" s="4">
        <v>8.7799999999999994</v>
      </c>
      <c r="L273" s="4">
        <v>0</v>
      </c>
      <c r="M273" s="4">
        <v>7.9</v>
      </c>
      <c r="N273" s="4">
        <v>8.5500000000000007</v>
      </c>
      <c r="O273" s="4">
        <v>4250</v>
      </c>
      <c r="P273" s="4">
        <v>9203</v>
      </c>
    </row>
    <row r="274" spans="2:16" x14ac:dyDescent="0.3">
      <c r="B274" s="6" t="s">
        <v>1330</v>
      </c>
      <c r="C274" s="4">
        <v>0.14000000000000001</v>
      </c>
      <c r="D274" s="4">
        <v>0</v>
      </c>
      <c r="E274" s="4">
        <v>7.0000000000000007E-2</v>
      </c>
      <c r="F274" s="4">
        <v>0.1</v>
      </c>
      <c r="G274" s="4">
        <v>150</v>
      </c>
      <c r="H274" s="4">
        <v>6202</v>
      </c>
      <c r="I274" s="4">
        <v>42</v>
      </c>
      <c r="J274" s="6" t="s">
        <v>1331</v>
      </c>
      <c r="K274" s="4">
        <v>10.42</v>
      </c>
      <c r="L274" s="4">
        <v>0</v>
      </c>
      <c r="M274" s="4">
        <v>9.75</v>
      </c>
      <c r="N274" s="4">
        <v>10.55</v>
      </c>
      <c r="O274" s="4">
        <v>5</v>
      </c>
      <c r="P274" s="4">
        <v>92</v>
      </c>
    </row>
    <row r="275" spans="2:16" x14ac:dyDescent="0.3">
      <c r="B275" s="6" t="s">
        <v>1332</v>
      </c>
      <c r="C275" s="4">
        <v>0.02</v>
      </c>
      <c r="D275" s="4">
        <v>-0.04</v>
      </c>
      <c r="E275" s="4">
        <v>0.02</v>
      </c>
      <c r="F275" s="4">
        <v>0.05</v>
      </c>
      <c r="G275" s="4">
        <v>10</v>
      </c>
      <c r="H275" s="4">
        <v>4011</v>
      </c>
      <c r="I275" s="4">
        <v>45</v>
      </c>
      <c r="J275" s="6" t="s">
        <v>1333</v>
      </c>
      <c r="K275" s="4">
        <v>13</v>
      </c>
      <c r="L275" s="4">
        <v>0</v>
      </c>
      <c r="M275" s="4">
        <v>12.2</v>
      </c>
      <c r="N275" s="4">
        <v>13.5</v>
      </c>
      <c r="O275" s="4">
        <v>5</v>
      </c>
      <c r="P275" s="4">
        <v>59</v>
      </c>
    </row>
    <row r="276" spans="2:16" x14ac:dyDescent="0.3">
      <c r="B276" s="6" t="s">
        <v>1334</v>
      </c>
      <c r="C276" s="4">
        <v>0.03</v>
      </c>
      <c r="D276" s="4">
        <v>0.01</v>
      </c>
      <c r="E276" s="4">
        <v>0.01</v>
      </c>
      <c r="F276" s="4">
        <v>0.05</v>
      </c>
      <c r="G276" s="4">
        <v>52</v>
      </c>
      <c r="H276" s="4">
        <v>1910</v>
      </c>
      <c r="I276" s="4">
        <v>47</v>
      </c>
      <c r="J276" s="6" t="s">
        <v>1335</v>
      </c>
      <c r="K276" s="4">
        <v>0</v>
      </c>
      <c r="L276" s="4">
        <v>0</v>
      </c>
      <c r="M276" s="4">
        <v>15.7</v>
      </c>
      <c r="N276" s="4">
        <v>20.45</v>
      </c>
      <c r="O276" s="4">
        <v>0</v>
      </c>
      <c r="P276" s="4">
        <v>0</v>
      </c>
    </row>
    <row r="277" spans="2:16" x14ac:dyDescent="0.3">
      <c r="B277" s="6" t="s">
        <v>1336</v>
      </c>
      <c r="C277" s="4">
        <v>0.02</v>
      </c>
      <c r="D277" s="4">
        <v>-0.01</v>
      </c>
      <c r="E277" s="4">
        <v>0</v>
      </c>
      <c r="F277" s="4">
        <v>0.04</v>
      </c>
      <c r="G277" s="4">
        <v>25</v>
      </c>
      <c r="H277" s="4">
        <v>3471</v>
      </c>
      <c r="I277" s="4">
        <v>50</v>
      </c>
      <c r="J277" s="6" t="s">
        <v>1337</v>
      </c>
      <c r="K277" s="4">
        <v>17.95</v>
      </c>
      <c r="L277" s="4">
        <v>-1.35</v>
      </c>
      <c r="M277" s="4">
        <v>16.5</v>
      </c>
      <c r="N277" s="4">
        <v>18.5</v>
      </c>
      <c r="O277" s="4">
        <v>1</v>
      </c>
      <c r="P277" s="4">
        <v>809</v>
      </c>
    </row>
    <row r="278" spans="2:16" x14ac:dyDescent="0.3">
      <c r="B278" s="6" t="s">
        <v>1338</v>
      </c>
      <c r="C278" s="4">
        <v>14.82</v>
      </c>
      <c r="D278" s="4">
        <v>0</v>
      </c>
      <c r="E278" s="4">
        <v>14.6</v>
      </c>
      <c r="F278" s="4">
        <v>17.8</v>
      </c>
      <c r="G278" s="4">
        <v>1</v>
      </c>
      <c r="H278" s="4">
        <v>57</v>
      </c>
      <c r="I278" s="4">
        <v>15</v>
      </c>
      <c r="J278" s="6" t="s">
        <v>1339</v>
      </c>
      <c r="K278" s="4">
        <v>0.2</v>
      </c>
      <c r="L278" s="4">
        <v>0</v>
      </c>
      <c r="M278" s="4">
        <v>0.17</v>
      </c>
      <c r="N278" s="4">
        <v>0.21</v>
      </c>
      <c r="O278" s="4">
        <v>10</v>
      </c>
      <c r="P278" s="4">
        <v>101</v>
      </c>
    </row>
    <row r="279" spans="2:16" x14ac:dyDescent="0.3">
      <c r="B279" s="6" t="s">
        <v>1340</v>
      </c>
      <c r="C279" s="4">
        <v>0</v>
      </c>
      <c r="D279" s="4">
        <v>0</v>
      </c>
      <c r="E279" s="4">
        <v>9.6999999999999993</v>
      </c>
      <c r="F279" s="4">
        <v>14.1</v>
      </c>
      <c r="G279" s="4">
        <v>0</v>
      </c>
      <c r="H279" s="4">
        <v>0</v>
      </c>
      <c r="I279" s="4">
        <v>18</v>
      </c>
      <c r="J279" s="6" t="s">
        <v>1341</v>
      </c>
      <c r="K279" s="4">
        <v>0.41</v>
      </c>
      <c r="L279" s="4">
        <v>0</v>
      </c>
      <c r="M279" s="4">
        <v>0.34</v>
      </c>
      <c r="N279" s="4">
        <v>0.38</v>
      </c>
      <c r="O279" s="4">
        <v>288</v>
      </c>
      <c r="P279" s="4">
        <v>612</v>
      </c>
    </row>
    <row r="280" spans="2:16" x14ac:dyDescent="0.3">
      <c r="B280" s="6" t="s">
        <v>1342</v>
      </c>
      <c r="C280" s="4">
        <v>12.2</v>
      </c>
      <c r="D280" s="4">
        <v>0.56999999999999995</v>
      </c>
      <c r="E280" s="4">
        <v>10.5</v>
      </c>
      <c r="F280" s="4">
        <v>15.1</v>
      </c>
      <c r="G280" s="4">
        <v>6</v>
      </c>
      <c r="H280" s="4">
        <v>197</v>
      </c>
      <c r="I280" s="4">
        <v>20</v>
      </c>
      <c r="J280" s="6" t="s">
        <v>1343</v>
      </c>
      <c r="K280" s="4">
        <v>0.52</v>
      </c>
      <c r="L280" s="4">
        <v>-0.04</v>
      </c>
      <c r="M280" s="4">
        <v>0.48</v>
      </c>
      <c r="N280" s="4">
        <v>0.55000000000000004</v>
      </c>
      <c r="O280" s="4">
        <v>2</v>
      </c>
      <c r="P280" s="4">
        <v>3746</v>
      </c>
    </row>
    <row r="281" spans="2:16" x14ac:dyDescent="0.3">
      <c r="B281" s="6" t="s">
        <v>1344</v>
      </c>
      <c r="C281" s="4">
        <v>9.6</v>
      </c>
      <c r="D281" s="4">
        <v>0</v>
      </c>
      <c r="E281" s="4">
        <v>9.1999999999999993</v>
      </c>
      <c r="F281" s="4">
        <v>9.9499999999999993</v>
      </c>
      <c r="G281" s="4">
        <v>18</v>
      </c>
      <c r="H281" s="4">
        <v>1318</v>
      </c>
      <c r="I281" s="4">
        <v>23</v>
      </c>
      <c r="J281" s="6" t="s">
        <v>1345</v>
      </c>
      <c r="K281" s="4">
        <v>0.92</v>
      </c>
      <c r="L281" s="4">
        <v>0</v>
      </c>
      <c r="M281" s="4">
        <v>0.92</v>
      </c>
      <c r="N281" s="4">
        <v>0.96</v>
      </c>
      <c r="O281" s="4">
        <v>5</v>
      </c>
      <c r="P281" s="4">
        <v>1869</v>
      </c>
    </row>
    <row r="282" spans="2:16" x14ac:dyDescent="0.3">
      <c r="B282" s="6" t="s">
        <v>1346</v>
      </c>
      <c r="C282" s="4">
        <v>7.5</v>
      </c>
      <c r="D282" s="4">
        <v>0</v>
      </c>
      <c r="E282" s="4">
        <v>7.45</v>
      </c>
      <c r="F282" s="4">
        <v>8.1</v>
      </c>
      <c r="G282" s="4">
        <v>37</v>
      </c>
      <c r="H282" s="4">
        <v>4754</v>
      </c>
      <c r="I282" s="4">
        <v>25</v>
      </c>
      <c r="J282" s="6" t="s">
        <v>1347</v>
      </c>
      <c r="K282" s="4">
        <v>1.28</v>
      </c>
      <c r="L282" s="4">
        <v>-0.01</v>
      </c>
      <c r="M282" s="4">
        <v>1.27</v>
      </c>
      <c r="N282" s="4">
        <v>1.34</v>
      </c>
      <c r="O282" s="4">
        <v>16</v>
      </c>
      <c r="P282" s="4">
        <v>5714</v>
      </c>
    </row>
    <row r="283" spans="2:16" x14ac:dyDescent="0.3">
      <c r="B283" s="6" t="s">
        <v>1348</v>
      </c>
      <c r="C283" s="4">
        <v>5.27</v>
      </c>
      <c r="D283" s="4">
        <v>-0.28999999999999998</v>
      </c>
      <c r="E283" s="4">
        <v>5.2</v>
      </c>
      <c r="F283" s="4">
        <v>5.45</v>
      </c>
      <c r="G283" s="4">
        <v>3</v>
      </c>
      <c r="H283" s="4">
        <v>5817</v>
      </c>
      <c r="I283" s="4">
        <v>28</v>
      </c>
      <c r="J283" s="6" t="s">
        <v>1349</v>
      </c>
      <c r="K283" s="4">
        <v>2.2200000000000002</v>
      </c>
      <c r="L283" s="4">
        <v>0.1</v>
      </c>
      <c r="M283" s="4">
        <v>2.17</v>
      </c>
      <c r="N283" s="4">
        <v>2.2400000000000002</v>
      </c>
      <c r="O283" s="4">
        <v>14</v>
      </c>
      <c r="P283" s="4">
        <v>19225</v>
      </c>
    </row>
    <row r="284" spans="2:16" x14ac:dyDescent="0.3">
      <c r="B284" s="6" t="s">
        <v>1350</v>
      </c>
      <c r="C284" s="4">
        <v>4.2</v>
      </c>
      <c r="D284" s="4">
        <v>0.09</v>
      </c>
      <c r="E284" s="4">
        <v>4.0999999999999996</v>
      </c>
      <c r="F284" s="4">
        <v>4.3</v>
      </c>
      <c r="G284" s="4">
        <v>15</v>
      </c>
      <c r="H284" s="4">
        <v>13049</v>
      </c>
      <c r="I284" s="4">
        <v>30</v>
      </c>
      <c r="J284" s="6" t="s">
        <v>1351</v>
      </c>
      <c r="K284" s="4">
        <v>2.88</v>
      </c>
      <c r="L284" s="4">
        <v>-0.1</v>
      </c>
      <c r="M284" s="4">
        <v>2.87</v>
      </c>
      <c r="N284" s="4">
        <v>2.95</v>
      </c>
      <c r="O284" s="4">
        <v>21</v>
      </c>
      <c r="P284" s="4">
        <v>10350</v>
      </c>
    </row>
    <row r="285" spans="2:16" x14ac:dyDescent="0.3">
      <c r="B285" s="6" t="s">
        <v>1352</v>
      </c>
      <c r="C285" s="4">
        <v>3.1</v>
      </c>
      <c r="D285" s="4">
        <v>0.08</v>
      </c>
      <c r="E285" s="4">
        <v>3.05</v>
      </c>
      <c r="F285" s="4">
        <v>3.15</v>
      </c>
      <c r="G285" s="4">
        <v>26</v>
      </c>
      <c r="H285" s="4">
        <v>38184</v>
      </c>
      <c r="I285" s="4">
        <v>32</v>
      </c>
      <c r="J285" s="6" t="s">
        <v>1353</v>
      </c>
      <c r="K285" s="4">
        <v>3.8</v>
      </c>
      <c r="L285" s="4">
        <v>-0.1</v>
      </c>
      <c r="M285" s="4">
        <v>3.8</v>
      </c>
      <c r="N285" s="4">
        <v>3.95</v>
      </c>
      <c r="O285" s="4">
        <v>10</v>
      </c>
      <c r="P285" s="4">
        <v>1909</v>
      </c>
    </row>
    <row r="286" spans="2:16" x14ac:dyDescent="0.3">
      <c r="B286" s="6" t="s">
        <v>1354</v>
      </c>
      <c r="C286" s="4">
        <v>1.9</v>
      </c>
      <c r="D286" s="4">
        <v>0.12</v>
      </c>
      <c r="E286" s="4">
        <v>1.84</v>
      </c>
      <c r="F286" s="4">
        <v>1.95</v>
      </c>
      <c r="G286" s="4">
        <v>34</v>
      </c>
      <c r="H286" s="4">
        <v>8723</v>
      </c>
      <c r="I286" s="4">
        <v>35</v>
      </c>
      <c r="J286" s="6" t="s">
        <v>1355</v>
      </c>
      <c r="K286" s="4">
        <v>5.65</v>
      </c>
      <c r="L286" s="4">
        <v>-0.35</v>
      </c>
      <c r="M286" s="4">
        <v>5.6</v>
      </c>
      <c r="N286" s="4">
        <v>5.75</v>
      </c>
      <c r="O286" s="4">
        <v>14</v>
      </c>
      <c r="P286" s="4">
        <v>278</v>
      </c>
    </row>
    <row r="287" spans="2:16" x14ac:dyDescent="0.3">
      <c r="B287" s="6" t="s">
        <v>1356</v>
      </c>
      <c r="C287" s="4">
        <v>1.3</v>
      </c>
      <c r="D287" s="4">
        <v>-0.05</v>
      </c>
      <c r="E287" s="4">
        <v>1.26</v>
      </c>
      <c r="F287" s="4">
        <v>1.33</v>
      </c>
      <c r="G287" s="4">
        <v>14</v>
      </c>
      <c r="H287" s="4">
        <v>2902</v>
      </c>
      <c r="I287" s="4">
        <v>37</v>
      </c>
      <c r="J287" s="6" t="s">
        <v>1357</v>
      </c>
      <c r="K287" s="4">
        <v>7.08</v>
      </c>
      <c r="L287" s="4">
        <v>-7.0000000000000007E-2</v>
      </c>
      <c r="M287" s="4">
        <v>7.1</v>
      </c>
      <c r="N287" s="4">
        <v>7.3</v>
      </c>
      <c r="O287" s="4">
        <v>2</v>
      </c>
      <c r="P287" s="4">
        <v>2638</v>
      </c>
    </row>
    <row r="288" spans="2:16" x14ac:dyDescent="0.3">
      <c r="B288" s="6" t="s">
        <v>1358</v>
      </c>
      <c r="C288" s="4">
        <v>0.74</v>
      </c>
      <c r="D288" s="4">
        <v>0.02</v>
      </c>
      <c r="E288" s="4">
        <v>0.69</v>
      </c>
      <c r="F288" s="4">
        <v>0.75</v>
      </c>
      <c r="G288" s="4">
        <v>10</v>
      </c>
      <c r="H288" s="4">
        <v>3451</v>
      </c>
      <c r="I288" s="4">
        <v>40</v>
      </c>
      <c r="J288" s="6" t="s">
        <v>1359</v>
      </c>
      <c r="K288" s="4">
        <v>9.6</v>
      </c>
      <c r="L288" s="4">
        <v>0</v>
      </c>
      <c r="M288" s="4">
        <v>9.5</v>
      </c>
      <c r="N288" s="4">
        <v>9.85</v>
      </c>
      <c r="O288" s="4">
        <v>10</v>
      </c>
      <c r="P288" s="4">
        <v>175</v>
      </c>
    </row>
    <row r="289" spans="2:16" x14ac:dyDescent="0.3">
      <c r="B289" s="6" t="s">
        <v>1360</v>
      </c>
      <c r="C289" s="4">
        <v>0.48</v>
      </c>
      <c r="D289" s="4">
        <v>0</v>
      </c>
      <c r="E289" s="4">
        <v>0.42</v>
      </c>
      <c r="F289" s="4">
        <v>0.5</v>
      </c>
      <c r="G289" s="4">
        <v>38</v>
      </c>
      <c r="H289" s="4">
        <v>552</v>
      </c>
      <c r="I289" s="4">
        <v>42</v>
      </c>
      <c r="J289" s="6" t="s">
        <v>1361</v>
      </c>
      <c r="K289" s="4">
        <v>11.54</v>
      </c>
      <c r="L289" s="4">
        <v>0</v>
      </c>
      <c r="M289" s="4">
        <v>11.25</v>
      </c>
      <c r="N289" s="4">
        <v>11.6</v>
      </c>
      <c r="O289" s="4">
        <v>5</v>
      </c>
      <c r="P289" s="4">
        <v>7</v>
      </c>
    </row>
    <row r="290" spans="2:16" x14ac:dyDescent="0.3">
      <c r="B290" s="6" t="s">
        <v>1362</v>
      </c>
      <c r="C290" s="4">
        <v>0.25</v>
      </c>
      <c r="D290" s="4">
        <v>-7.0000000000000007E-2</v>
      </c>
      <c r="E290" s="4">
        <v>0.23</v>
      </c>
      <c r="F290" s="4">
        <v>0.28000000000000003</v>
      </c>
      <c r="G290" s="4">
        <v>10</v>
      </c>
      <c r="H290" s="4">
        <v>756</v>
      </c>
      <c r="I290" s="4">
        <v>45</v>
      </c>
      <c r="J290" s="6" t="s">
        <v>1363</v>
      </c>
      <c r="K290" s="4">
        <v>16.399999999999999</v>
      </c>
      <c r="L290" s="4">
        <v>0</v>
      </c>
      <c r="M290" s="4">
        <v>13.7</v>
      </c>
      <c r="N290" s="4">
        <v>18.350000000000001</v>
      </c>
      <c r="O290" s="4">
        <v>0</v>
      </c>
      <c r="P290" s="4">
        <v>33</v>
      </c>
    </row>
    <row r="291" spans="2:16" x14ac:dyDescent="0.3">
      <c r="B291" s="6" t="s">
        <v>1364</v>
      </c>
      <c r="C291" s="4">
        <v>0.15</v>
      </c>
      <c r="D291" s="4">
        <v>0</v>
      </c>
      <c r="E291" s="4">
        <v>0.03</v>
      </c>
      <c r="F291" s="4">
        <v>0.11</v>
      </c>
      <c r="G291" s="4">
        <v>0</v>
      </c>
      <c r="H291" s="4">
        <v>558</v>
      </c>
      <c r="I291" s="4">
        <v>50</v>
      </c>
      <c r="J291" s="6" t="s">
        <v>1365</v>
      </c>
      <c r="K291" s="4">
        <v>18.57</v>
      </c>
      <c r="L291" s="4">
        <v>-1.68</v>
      </c>
      <c r="M291" s="4">
        <v>18.25</v>
      </c>
      <c r="N291" s="4">
        <v>19.45</v>
      </c>
      <c r="O291" s="4">
        <v>1</v>
      </c>
      <c r="P291" s="4">
        <v>40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E1225"/>
  <sheetViews>
    <sheetView tabSelected="1" workbookViewId="0">
      <selection activeCell="B5" sqref="B5"/>
    </sheetView>
  </sheetViews>
  <sheetFormatPr defaultColWidth="9.109375" defaultRowHeight="13.8" x14ac:dyDescent="0.3"/>
  <cols>
    <col min="1" max="1" width="9.109375" style="1"/>
    <col min="2" max="2" width="21.6640625" style="1" bestFit="1" customWidth="1"/>
    <col min="3" max="9" width="9.109375" style="1"/>
    <col min="10" max="10" width="21.6640625" style="1" bestFit="1" customWidth="1"/>
    <col min="11" max="19" width="9.109375" style="1"/>
    <col min="20" max="21" width="11.33203125" style="1" bestFit="1" customWidth="1"/>
    <col min="22" max="16384" width="9.109375" style="1"/>
  </cols>
  <sheetData>
    <row r="1" spans="2:31" x14ac:dyDescent="0.3">
      <c r="T1" s="7" t="s">
        <v>13</v>
      </c>
      <c r="U1" s="8" t="s">
        <v>14</v>
      </c>
    </row>
    <row r="2" spans="2:31" ht="14.4" thickBot="1" x14ac:dyDescent="0.35">
      <c r="B2" s="15" t="s">
        <v>0</v>
      </c>
      <c r="C2" s="16" t="s">
        <v>8</v>
      </c>
      <c r="D2" s="17"/>
      <c r="E2" s="18" t="str">
        <f>"Change the Ticker symbol in Cell "&amp;ADDRESS(ROW(symbol),COLUMN(symbol),4) &amp; " and press [ENTER]"</f>
        <v>Change the Ticker symbol in Cell B3 and press [ENTER]</v>
      </c>
      <c r="F2" s="17"/>
      <c r="G2" s="17"/>
      <c r="H2" s="17"/>
      <c r="I2" s="17"/>
      <c r="K2" s="17"/>
      <c r="L2" s="17"/>
      <c r="M2" s="17"/>
      <c r="N2" s="17"/>
      <c r="O2" s="17"/>
      <c r="P2" s="17"/>
      <c r="T2" s="9">
        <f>SUM(T6:T1300)</f>
        <v>171636.18999999997</v>
      </c>
      <c r="U2" s="10">
        <f>SUM(U6:U1300)</f>
        <v>212856.51000000007</v>
      </c>
      <c r="V2" s="1">
        <f t="shared" ref="V2:AA2" si="0">SUM(V6:V1300)</f>
        <v>18174929.420000006</v>
      </c>
      <c r="W2" s="1">
        <f t="shared" si="0"/>
        <v>3863271.8899999997</v>
      </c>
      <c r="X2" s="1">
        <f t="shared" si="0"/>
        <v>43992</v>
      </c>
      <c r="Y2" s="1">
        <f t="shared" si="0"/>
        <v>95706</v>
      </c>
      <c r="Z2" s="1">
        <f t="shared" si="0"/>
        <v>2097263</v>
      </c>
      <c r="AA2" s="1">
        <f t="shared" si="0"/>
        <v>4381034</v>
      </c>
      <c r="AB2" s="1">
        <f>T2/U2</f>
        <v>0.80634691417236859</v>
      </c>
      <c r="AC2" s="1">
        <f>X2/Y2</f>
        <v>0.45965770171149145</v>
      </c>
      <c r="AD2" s="11">
        <f>T2-U2</f>
        <v>-41220.320000000094</v>
      </c>
      <c r="AE2" s="1">
        <f>X2-Y2</f>
        <v>-51714</v>
      </c>
    </row>
    <row r="3" spans="2:31" x14ac:dyDescent="0.3">
      <c r="B3" s="1" t="s">
        <v>15</v>
      </c>
      <c r="C3" s="17">
        <v>176.13999899999999</v>
      </c>
      <c r="D3" s="17"/>
      <c r="E3" s="17"/>
      <c r="F3" s="17"/>
      <c r="G3" s="17"/>
      <c r="H3" s="17"/>
      <c r="I3" s="17"/>
      <c r="K3" s="17"/>
      <c r="L3" s="17"/>
      <c r="M3" s="17"/>
      <c r="N3" s="17"/>
      <c r="O3" s="17"/>
      <c r="P3" s="17"/>
      <c r="T3" s="1" t="e">
        <f>T2=#REF!</f>
        <v>#REF!</v>
      </c>
      <c r="U3" s="1" t="e">
        <f>U2=#REF!</f>
        <v>#REF!</v>
      </c>
      <c r="V3" s="1" t="e">
        <f>V2=#REF!</f>
        <v>#REF!</v>
      </c>
      <c r="W3" s="1" t="e">
        <f>W2=#REF!</f>
        <v>#REF!</v>
      </c>
      <c r="X3" s="1" t="e">
        <f>X2=#REF!</f>
        <v>#REF!</v>
      </c>
      <c r="Y3" s="1" t="e">
        <f>Y2=#REF!</f>
        <v>#REF!</v>
      </c>
      <c r="Z3" s="1" t="e">
        <f>Z2=#REF!</f>
        <v>#REF!</v>
      </c>
      <c r="AA3" s="1" t="e">
        <f>AA2=#REF!</f>
        <v>#REF!</v>
      </c>
      <c r="AB3" s="1" t="e">
        <f>AB2=#REF!</f>
        <v>#REF!</v>
      </c>
      <c r="AC3" s="1" t="e">
        <f>AC2=#REF!</f>
        <v>#REF!</v>
      </c>
      <c r="AD3" s="1" t="e">
        <f>AD2=#REF!</f>
        <v>#REF!</v>
      </c>
      <c r="AE3" s="1" t="e">
        <f>AE2=#REF!</f>
        <v>#REF!</v>
      </c>
    </row>
    <row r="4" spans="2:31" x14ac:dyDescent="0.3">
      <c r="B4" s="2"/>
      <c r="C4" s="3"/>
      <c r="D4" s="3"/>
      <c r="E4" s="3"/>
      <c r="F4" s="3"/>
      <c r="G4" s="3"/>
      <c r="H4" s="3"/>
      <c r="I4" s="3"/>
      <c r="J4" s="2"/>
      <c r="K4" s="3"/>
      <c r="L4" s="3"/>
      <c r="M4" s="3"/>
      <c r="N4" s="3"/>
      <c r="O4" s="3"/>
      <c r="P4" s="3"/>
    </row>
    <row r="5" spans="2:31" x14ac:dyDescent="0.3">
      <c r="B5" s="15" t="s">
        <v>0</v>
      </c>
      <c r="C5" s="16" t="s">
        <v>1</v>
      </c>
      <c r="D5" s="16" t="s">
        <v>2</v>
      </c>
      <c r="E5" s="16" t="s">
        <v>3</v>
      </c>
      <c r="F5" s="16" t="s">
        <v>4</v>
      </c>
      <c r="G5" s="16" t="s">
        <v>5</v>
      </c>
      <c r="H5" s="16" t="s">
        <v>6</v>
      </c>
      <c r="I5" s="16" t="s">
        <v>7</v>
      </c>
      <c r="J5" s="15" t="s">
        <v>0</v>
      </c>
      <c r="K5" s="16" t="s">
        <v>1</v>
      </c>
      <c r="L5" s="16" t="s">
        <v>2</v>
      </c>
      <c r="M5" s="16" t="s">
        <v>3</v>
      </c>
      <c r="N5" s="16" t="s">
        <v>4</v>
      </c>
      <c r="O5" s="16" t="s">
        <v>5</v>
      </c>
      <c r="P5" s="16" t="s">
        <v>6</v>
      </c>
    </row>
    <row r="6" spans="2:31" x14ac:dyDescent="0.3">
      <c r="B6" s="12" t="s">
        <v>16</v>
      </c>
      <c r="C6" s="1">
        <v>150.53</v>
      </c>
      <c r="D6" s="1">
        <v>0</v>
      </c>
      <c r="E6" s="1">
        <v>155.41999999999999</v>
      </c>
      <c r="F6" s="1">
        <v>156.63</v>
      </c>
      <c r="G6" s="1" t="s">
        <v>11</v>
      </c>
      <c r="H6" s="1">
        <v>10</v>
      </c>
      <c r="I6" s="1">
        <v>20</v>
      </c>
      <c r="J6" s="13" t="s">
        <v>17</v>
      </c>
      <c r="K6" s="1">
        <v>0.02</v>
      </c>
      <c r="L6" s="1">
        <v>0</v>
      </c>
      <c r="M6" s="1" t="s">
        <v>11</v>
      </c>
      <c r="N6" s="1">
        <v>0.02</v>
      </c>
      <c r="O6" s="1" t="s">
        <v>11</v>
      </c>
      <c r="P6" s="1">
        <v>10888</v>
      </c>
      <c r="T6" s="1">
        <f>IF(AND(G6="-"),0,G6*F6)</f>
        <v>0</v>
      </c>
      <c r="U6" s="1">
        <f>IF(AND(O6="-"),0,O6*N6)</f>
        <v>0</v>
      </c>
      <c r="V6" s="1">
        <f>IFERROR(C6*H6,0)</f>
        <v>1505.3</v>
      </c>
      <c r="W6" s="1">
        <f>IFERROR(K6*P6,0)</f>
        <v>217.76</v>
      </c>
      <c r="X6" s="1">
        <f>IFERROR(G6*1,0)</f>
        <v>0</v>
      </c>
      <c r="Y6" s="1">
        <f>IFERROR(O6*1,0)</f>
        <v>0</v>
      </c>
      <c r="Z6" s="1">
        <f>IFERROR(H6*1,0)</f>
        <v>10</v>
      </c>
      <c r="AA6" s="1">
        <f>IFERROR(P6*1,0)</f>
        <v>10888</v>
      </c>
    </row>
    <row r="7" spans="2:31" x14ac:dyDescent="0.3">
      <c r="B7" s="12" t="s">
        <v>18</v>
      </c>
      <c r="C7" s="1">
        <v>139.21</v>
      </c>
      <c r="D7" s="1">
        <v>0</v>
      </c>
      <c r="E7" s="1">
        <v>150.41999999999999</v>
      </c>
      <c r="F7" s="1">
        <v>151.63</v>
      </c>
      <c r="G7" s="1" t="s">
        <v>11</v>
      </c>
      <c r="H7" s="1">
        <v>0</v>
      </c>
      <c r="I7" s="1">
        <v>25</v>
      </c>
      <c r="J7" s="13" t="s">
        <v>19</v>
      </c>
      <c r="K7" s="1">
        <v>0.01</v>
      </c>
      <c r="L7" s="1">
        <v>0</v>
      </c>
      <c r="M7" s="1" t="s">
        <v>11</v>
      </c>
      <c r="N7" s="1">
        <v>0.02</v>
      </c>
      <c r="O7" s="1" t="s">
        <v>11</v>
      </c>
      <c r="P7" s="1">
        <v>204</v>
      </c>
      <c r="T7" s="1">
        <f t="shared" ref="T7:T70" si="1">IF(AND(G7="-"),0,G7*F7)</f>
        <v>0</v>
      </c>
      <c r="U7" s="1">
        <f t="shared" ref="U7:U70" si="2">IF(AND(O7="-"),0,O7*N7)</f>
        <v>0</v>
      </c>
      <c r="V7" s="1">
        <f t="shared" ref="V7:V70" si="3">IFERROR(C7*H7,0)</f>
        <v>0</v>
      </c>
      <c r="W7" s="1">
        <f t="shared" ref="W7:W70" si="4">IFERROR(K7*P7,0)</f>
        <v>2.04</v>
      </c>
      <c r="X7" s="1">
        <f t="shared" ref="X7:X70" si="5">IFERROR(G7*1,0)</f>
        <v>0</v>
      </c>
      <c r="Y7" s="1">
        <f t="shared" ref="Y7:Y70" si="6">IFERROR(O7*1,0)</f>
        <v>0</v>
      </c>
      <c r="Z7" s="1">
        <f t="shared" ref="Z7:Z70" si="7">IFERROR(H7*1,0)</f>
        <v>0</v>
      </c>
      <c r="AA7" s="1">
        <f t="shared" ref="AA7:AA70" si="8">IFERROR(P7*1,0)</f>
        <v>204</v>
      </c>
    </row>
    <row r="8" spans="2:31" x14ac:dyDescent="0.3">
      <c r="B8" s="12" t="s">
        <v>20</v>
      </c>
      <c r="C8" s="1">
        <v>140.54</v>
      </c>
      <c r="D8" s="1">
        <v>0</v>
      </c>
      <c r="E8" s="1">
        <v>145.41999999999999</v>
      </c>
      <c r="F8" s="1">
        <v>146.63</v>
      </c>
      <c r="G8" s="1" t="s">
        <v>11</v>
      </c>
      <c r="H8" s="1">
        <v>10</v>
      </c>
      <c r="I8" s="1">
        <v>30</v>
      </c>
      <c r="J8" s="13" t="s">
        <v>21</v>
      </c>
      <c r="K8" s="1">
        <v>0.01</v>
      </c>
      <c r="L8" s="1">
        <v>0</v>
      </c>
      <c r="M8" s="1" t="s">
        <v>11</v>
      </c>
      <c r="N8" s="1">
        <v>0.02</v>
      </c>
      <c r="O8" s="1" t="s">
        <v>11</v>
      </c>
      <c r="P8" s="1">
        <v>3239</v>
      </c>
      <c r="T8" s="1">
        <f t="shared" si="1"/>
        <v>0</v>
      </c>
      <c r="U8" s="1">
        <f t="shared" si="2"/>
        <v>0</v>
      </c>
      <c r="V8" s="1">
        <f t="shared" si="3"/>
        <v>1405.3999999999999</v>
      </c>
      <c r="W8" s="1">
        <f t="shared" si="4"/>
        <v>32.39</v>
      </c>
      <c r="X8" s="1">
        <f t="shared" si="5"/>
        <v>0</v>
      </c>
      <c r="Y8" s="1">
        <f t="shared" si="6"/>
        <v>0</v>
      </c>
      <c r="Z8" s="1">
        <f t="shared" si="7"/>
        <v>10</v>
      </c>
      <c r="AA8" s="1">
        <f t="shared" si="8"/>
        <v>3239</v>
      </c>
    </row>
    <row r="9" spans="2:31" x14ac:dyDescent="0.3">
      <c r="B9" s="12" t="s">
        <v>22</v>
      </c>
      <c r="C9" s="1">
        <v>132.9</v>
      </c>
      <c r="D9" s="1">
        <v>0</v>
      </c>
      <c r="E9" s="1">
        <v>140.43</v>
      </c>
      <c r="F9" s="1">
        <v>141.63999999999999</v>
      </c>
      <c r="G9" s="1" t="s">
        <v>11</v>
      </c>
      <c r="H9" s="1">
        <v>70</v>
      </c>
      <c r="I9" s="1">
        <v>35</v>
      </c>
      <c r="J9" s="13" t="s">
        <v>23</v>
      </c>
      <c r="K9" s="1">
        <v>0.02</v>
      </c>
      <c r="L9" s="1">
        <v>0</v>
      </c>
      <c r="M9" s="1" t="s">
        <v>11</v>
      </c>
      <c r="N9" s="1">
        <v>0.02</v>
      </c>
      <c r="O9" s="1" t="s">
        <v>11</v>
      </c>
      <c r="P9" s="1">
        <v>1133</v>
      </c>
      <c r="T9" s="1">
        <f t="shared" si="1"/>
        <v>0</v>
      </c>
      <c r="U9" s="1">
        <f t="shared" si="2"/>
        <v>0</v>
      </c>
      <c r="V9" s="1">
        <f t="shared" si="3"/>
        <v>9303</v>
      </c>
      <c r="W9" s="1">
        <f t="shared" si="4"/>
        <v>22.66</v>
      </c>
      <c r="X9" s="1">
        <f t="shared" si="5"/>
        <v>0</v>
      </c>
      <c r="Y9" s="1">
        <f t="shared" si="6"/>
        <v>0</v>
      </c>
      <c r="Z9" s="1">
        <f t="shared" si="7"/>
        <v>70</v>
      </c>
      <c r="AA9" s="1">
        <f t="shared" si="8"/>
        <v>1133</v>
      </c>
    </row>
    <row r="10" spans="2:31" x14ac:dyDescent="0.3">
      <c r="B10" s="12" t="s">
        <v>24</v>
      </c>
      <c r="C10" s="1">
        <v>127.9</v>
      </c>
      <c r="D10" s="1">
        <v>0</v>
      </c>
      <c r="E10" s="1">
        <v>135.43</v>
      </c>
      <c r="F10" s="1">
        <v>136.63999999999999</v>
      </c>
      <c r="G10" s="1" t="s">
        <v>11</v>
      </c>
      <c r="H10" s="1">
        <v>50</v>
      </c>
      <c r="I10" s="1">
        <v>40</v>
      </c>
      <c r="J10" s="13" t="s">
        <v>25</v>
      </c>
      <c r="K10" s="1">
        <v>0.01</v>
      </c>
      <c r="L10" s="1">
        <v>0</v>
      </c>
      <c r="M10" s="1" t="s">
        <v>11</v>
      </c>
      <c r="N10" s="1">
        <v>0.02</v>
      </c>
      <c r="O10" s="1" t="s">
        <v>11</v>
      </c>
      <c r="P10" s="1">
        <v>900</v>
      </c>
      <c r="T10" s="1">
        <f t="shared" si="1"/>
        <v>0</v>
      </c>
      <c r="U10" s="1">
        <f t="shared" si="2"/>
        <v>0</v>
      </c>
      <c r="V10" s="1">
        <f t="shared" si="3"/>
        <v>6395</v>
      </c>
      <c r="W10" s="1">
        <f t="shared" si="4"/>
        <v>9</v>
      </c>
      <c r="X10" s="1">
        <f t="shared" si="5"/>
        <v>0</v>
      </c>
      <c r="Y10" s="1">
        <f t="shared" si="6"/>
        <v>0</v>
      </c>
      <c r="Z10" s="1">
        <f t="shared" si="7"/>
        <v>50</v>
      </c>
      <c r="AA10" s="1">
        <f t="shared" si="8"/>
        <v>900</v>
      </c>
    </row>
    <row r="11" spans="2:31" x14ac:dyDescent="0.3">
      <c r="B11" s="12" t="s">
        <v>26</v>
      </c>
      <c r="C11" s="1">
        <v>122.9</v>
      </c>
      <c r="D11" s="1">
        <v>0</v>
      </c>
      <c r="E11" s="1">
        <v>130.43</v>
      </c>
      <c r="F11" s="1">
        <v>131.63999999999999</v>
      </c>
      <c r="G11" s="1" t="s">
        <v>11</v>
      </c>
      <c r="H11" s="1">
        <v>70</v>
      </c>
      <c r="I11" s="1">
        <v>45</v>
      </c>
      <c r="J11" s="13" t="s">
        <v>27</v>
      </c>
      <c r="K11" s="1">
        <v>0.01</v>
      </c>
      <c r="L11" s="1">
        <v>0</v>
      </c>
      <c r="M11" s="1" t="s">
        <v>11</v>
      </c>
      <c r="N11" s="1">
        <v>0.02</v>
      </c>
      <c r="O11" s="1" t="s">
        <v>11</v>
      </c>
      <c r="P11" s="1">
        <v>941</v>
      </c>
      <c r="T11" s="1">
        <f t="shared" si="1"/>
        <v>0</v>
      </c>
      <c r="U11" s="1">
        <f t="shared" si="2"/>
        <v>0</v>
      </c>
      <c r="V11" s="1">
        <f t="shared" si="3"/>
        <v>8603</v>
      </c>
      <c r="W11" s="1">
        <f t="shared" si="4"/>
        <v>9.41</v>
      </c>
      <c r="X11" s="1">
        <f t="shared" si="5"/>
        <v>0</v>
      </c>
      <c r="Y11" s="1">
        <f t="shared" si="6"/>
        <v>0</v>
      </c>
      <c r="Z11" s="1">
        <f t="shared" si="7"/>
        <v>70</v>
      </c>
      <c r="AA11" s="1">
        <f t="shared" si="8"/>
        <v>941</v>
      </c>
    </row>
    <row r="12" spans="2:31" x14ac:dyDescent="0.3">
      <c r="B12" s="12" t="s">
        <v>28</v>
      </c>
      <c r="C12" s="1">
        <v>120.55</v>
      </c>
      <c r="D12" s="1">
        <v>0</v>
      </c>
      <c r="E12" s="1">
        <v>125.43</v>
      </c>
      <c r="F12" s="1">
        <v>126.64</v>
      </c>
      <c r="G12" s="1" t="s">
        <v>11</v>
      </c>
      <c r="H12" s="1">
        <v>10</v>
      </c>
      <c r="I12" s="1">
        <v>50</v>
      </c>
      <c r="J12" s="13" t="s">
        <v>29</v>
      </c>
      <c r="K12" s="1">
        <v>0.01</v>
      </c>
      <c r="L12" s="1">
        <v>0</v>
      </c>
      <c r="M12" s="1" t="s">
        <v>11</v>
      </c>
      <c r="N12" s="1">
        <v>0.02</v>
      </c>
      <c r="O12" s="1" t="s">
        <v>11</v>
      </c>
      <c r="P12" s="1">
        <v>1600</v>
      </c>
      <c r="T12" s="1">
        <f t="shared" si="1"/>
        <v>0</v>
      </c>
      <c r="U12" s="1">
        <f t="shared" si="2"/>
        <v>0</v>
      </c>
      <c r="V12" s="1">
        <f t="shared" si="3"/>
        <v>1205.5</v>
      </c>
      <c r="W12" s="1">
        <f t="shared" si="4"/>
        <v>16</v>
      </c>
      <c r="X12" s="1">
        <f t="shared" si="5"/>
        <v>0</v>
      </c>
      <c r="Y12" s="1">
        <f t="shared" si="6"/>
        <v>0</v>
      </c>
      <c r="Z12" s="1">
        <f t="shared" si="7"/>
        <v>10</v>
      </c>
      <c r="AA12" s="1">
        <f t="shared" si="8"/>
        <v>1600</v>
      </c>
    </row>
    <row r="13" spans="2:31" x14ac:dyDescent="0.3">
      <c r="B13" s="12" t="s">
        <v>30</v>
      </c>
      <c r="C13" s="1">
        <v>115.75</v>
      </c>
      <c r="D13" s="1">
        <v>0</v>
      </c>
      <c r="E13" s="1">
        <v>120.43</v>
      </c>
      <c r="F13" s="1">
        <v>121.64</v>
      </c>
      <c r="G13" s="1" t="s">
        <v>11</v>
      </c>
      <c r="H13" s="1">
        <v>18</v>
      </c>
      <c r="I13" s="1">
        <v>55</v>
      </c>
      <c r="J13" s="13" t="s">
        <v>31</v>
      </c>
      <c r="K13" s="1">
        <v>0.02</v>
      </c>
      <c r="L13" s="1">
        <v>0</v>
      </c>
      <c r="M13" s="1" t="s">
        <v>11</v>
      </c>
      <c r="N13" s="1">
        <v>0.02</v>
      </c>
      <c r="O13" s="1" t="s">
        <v>11</v>
      </c>
      <c r="P13" s="1">
        <v>5337</v>
      </c>
      <c r="T13" s="1">
        <f t="shared" si="1"/>
        <v>0</v>
      </c>
      <c r="U13" s="1">
        <f t="shared" si="2"/>
        <v>0</v>
      </c>
      <c r="V13" s="1">
        <f t="shared" si="3"/>
        <v>2083.5</v>
      </c>
      <c r="W13" s="1">
        <f t="shared" si="4"/>
        <v>106.74000000000001</v>
      </c>
      <c r="X13" s="1">
        <f t="shared" si="5"/>
        <v>0</v>
      </c>
      <c r="Y13" s="1">
        <f t="shared" si="6"/>
        <v>0</v>
      </c>
      <c r="Z13" s="1">
        <f t="shared" si="7"/>
        <v>18</v>
      </c>
      <c r="AA13" s="1">
        <f t="shared" si="8"/>
        <v>5337</v>
      </c>
    </row>
    <row r="14" spans="2:31" x14ac:dyDescent="0.3">
      <c r="B14" s="12" t="s">
        <v>32</v>
      </c>
      <c r="C14" s="1">
        <v>110.75</v>
      </c>
      <c r="D14" s="1">
        <v>0</v>
      </c>
      <c r="E14" s="1">
        <v>115.44</v>
      </c>
      <c r="F14" s="1">
        <v>116.65</v>
      </c>
      <c r="G14" s="1" t="s">
        <v>11</v>
      </c>
      <c r="H14" s="1">
        <v>179</v>
      </c>
      <c r="I14" s="1">
        <v>60</v>
      </c>
      <c r="J14" s="13" t="s">
        <v>33</v>
      </c>
      <c r="K14" s="1">
        <v>0.01</v>
      </c>
      <c r="L14" s="1">
        <v>0</v>
      </c>
      <c r="M14" s="1" t="s">
        <v>11</v>
      </c>
      <c r="N14" s="1">
        <v>0.02</v>
      </c>
      <c r="O14" s="1" t="s">
        <v>11</v>
      </c>
      <c r="P14" s="1">
        <v>8780</v>
      </c>
      <c r="T14" s="1">
        <f t="shared" si="1"/>
        <v>0</v>
      </c>
      <c r="U14" s="1">
        <f t="shared" si="2"/>
        <v>0</v>
      </c>
      <c r="V14" s="1">
        <f t="shared" si="3"/>
        <v>19824.25</v>
      </c>
      <c r="W14" s="1">
        <f t="shared" si="4"/>
        <v>87.8</v>
      </c>
      <c r="X14" s="1">
        <f t="shared" si="5"/>
        <v>0</v>
      </c>
      <c r="Y14" s="1">
        <f t="shared" si="6"/>
        <v>0</v>
      </c>
      <c r="Z14" s="1">
        <f t="shared" si="7"/>
        <v>179</v>
      </c>
      <c r="AA14" s="1">
        <f t="shared" si="8"/>
        <v>8780</v>
      </c>
    </row>
    <row r="15" spans="2:31" x14ac:dyDescent="0.3">
      <c r="B15" s="12" t="s">
        <v>34</v>
      </c>
      <c r="C15" s="1">
        <v>105.75</v>
      </c>
      <c r="D15" s="1">
        <v>0</v>
      </c>
      <c r="E15" s="1">
        <v>110.44</v>
      </c>
      <c r="F15" s="1">
        <v>111.65</v>
      </c>
      <c r="G15" s="1" t="s">
        <v>11</v>
      </c>
      <c r="H15" s="1">
        <v>90</v>
      </c>
      <c r="I15" s="1">
        <v>65</v>
      </c>
      <c r="J15" s="13" t="s">
        <v>35</v>
      </c>
      <c r="K15" s="1">
        <v>0.01</v>
      </c>
      <c r="L15" s="1">
        <v>0</v>
      </c>
      <c r="M15" s="1" t="s">
        <v>11</v>
      </c>
      <c r="N15" s="1">
        <v>0.01</v>
      </c>
      <c r="O15" s="1" t="s">
        <v>11</v>
      </c>
      <c r="P15" s="1">
        <v>7356</v>
      </c>
      <c r="T15" s="1">
        <f t="shared" si="1"/>
        <v>0</v>
      </c>
      <c r="U15" s="1">
        <f t="shared" si="2"/>
        <v>0</v>
      </c>
      <c r="V15" s="1">
        <f t="shared" si="3"/>
        <v>9517.5</v>
      </c>
      <c r="W15" s="1">
        <f t="shared" si="4"/>
        <v>73.56</v>
      </c>
      <c r="X15" s="1">
        <f t="shared" si="5"/>
        <v>0</v>
      </c>
      <c r="Y15" s="1">
        <f t="shared" si="6"/>
        <v>0</v>
      </c>
      <c r="Z15" s="1">
        <f t="shared" si="7"/>
        <v>90</v>
      </c>
      <c r="AA15" s="1">
        <f t="shared" si="8"/>
        <v>7356</v>
      </c>
    </row>
    <row r="16" spans="2:31" x14ac:dyDescent="0.3">
      <c r="B16" s="12" t="s">
        <v>36</v>
      </c>
      <c r="C16" s="1">
        <v>96.72</v>
      </c>
      <c r="D16" s="1">
        <v>0</v>
      </c>
      <c r="E16" s="1">
        <v>105.44</v>
      </c>
      <c r="F16" s="1">
        <v>106.65</v>
      </c>
      <c r="G16" s="1" t="s">
        <v>11</v>
      </c>
      <c r="H16" s="1">
        <v>308</v>
      </c>
      <c r="I16" s="1">
        <v>70</v>
      </c>
      <c r="J16" s="13" t="s">
        <v>37</v>
      </c>
      <c r="K16" s="1">
        <v>0.01</v>
      </c>
      <c r="L16" s="1">
        <v>0</v>
      </c>
      <c r="M16" s="1" t="s">
        <v>11</v>
      </c>
      <c r="N16" s="1">
        <v>0.02</v>
      </c>
      <c r="O16" s="1" t="s">
        <v>11</v>
      </c>
      <c r="P16" s="1">
        <v>19973</v>
      </c>
      <c r="T16" s="1">
        <f t="shared" si="1"/>
        <v>0</v>
      </c>
      <c r="U16" s="1">
        <f t="shared" si="2"/>
        <v>0</v>
      </c>
      <c r="V16" s="1">
        <f t="shared" si="3"/>
        <v>29789.759999999998</v>
      </c>
      <c r="W16" s="1">
        <f t="shared" si="4"/>
        <v>199.73000000000002</v>
      </c>
      <c r="X16" s="1">
        <f t="shared" si="5"/>
        <v>0</v>
      </c>
      <c r="Y16" s="1">
        <f t="shared" si="6"/>
        <v>0</v>
      </c>
      <c r="Z16" s="1">
        <f t="shared" si="7"/>
        <v>308</v>
      </c>
      <c r="AA16" s="1">
        <f t="shared" si="8"/>
        <v>19973</v>
      </c>
    </row>
    <row r="17" spans="2:27" x14ac:dyDescent="0.3">
      <c r="B17" s="12" t="s">
        <v>38</v>
      </c>
      <c r="C17" s="1">
        <v>95.33</v>
      </c>
      <c r="D17" s="1">
        <v>0</v>
      </c>
      <c r="E17" s="1">
        <v>100.44</v>
      </c>
      <c r="F17" s="1">
        <v>101.65</v>
      </c>
      <c r="G17" s="1" t="s">
        <v>11</v>
      </c>
      <c r="H17" s="1">
        <v>202</v>
      </c>
      <c r="I17" s="1">
        <v>75</v>
      </c>
      <c r="J17" s="13" t="s">
        <v>39</v>
      </c>
      <c r="K17" s="1">
        <v>0.01</v>
      </c>
      <c r="L17" s="1">
        <v>0</v>
      </c>
      <c r="M17" s="1" t="s">
        <v>11</v>
      </c>
      <c r="N17" s="1">
        <v>0.01</v>
      </c>
      <c r="O17" s="1" t="s">
        <v>11</v>
      </c>
      <c r="P17" s="1">
        <v>10871</v>
      </c>
      <c r="T17" s="1">
        <f t="shared" si="1"/>
        <v>0</v>
      </c>
      <c r="U17" s="1">
        <f t="shared" si="2"/>
        <v>0</v>
      </c>
      <c r="V17" s="1">
        <f t="shared" si="3"/>
        <v>19256.66</v>
      </c>
      <c r="W17" s="1">
        <f t="shared" si="4"/>
        <v>108.71000000000001</v>
      </c>
      <c r="X17" s="1">
        <f t="shared" si="5"/>
        <v>0</v>
      </c>
      <c r="Y17" s="1">
        <f t="shared" si="6"/>
        <v>0</v>
      </c>
      <c r="Z17" s="1">
        <f t="shared" si="7"/>
        <v>202</v>
      </c>
      <c r="AA17" s="1">
        <f t="shared" si="8"/>
        <v>10871</v>
      </c>
    </row>
    <row r="18" spans="2:27" x14ac:dyDescent="0.3">
      <c r="B18" s="12" t="s">
        <v>40</v>
      </c>
      <c r="C18" s="1">
        <v>94.4</v>
      </c>
      <c r="D18" s="1">
        <v>0</v>
      </c>
      <c r="E18" s="1">
        <v>95.44</v>
      </c>
      <c r="F18" s="1">
        <v>96.65</v>
      </c>
      <c r="G18" s="1" t="s">
        <v>11</v>
      </c>
      <c r="H18" s="1">
        <v>77</v>
      </c>
      <c r="I18" s="1">
        <v>80</v>
      </c>
      <c r="J18" s="13" t="s">
        <v>41</v>
      </c>
      <c r="K18" s="1">
        <v>0.01</v>
      </c>
      <c r="L18" s="1">
        <v>0</v>
      </c>
      <c r="M18" s="1" t="s">
        <v>11</v>
      </c>
      <c r="N18" s="1">
        <v>0.02</v>
      </c>
      <c r="O18" s="1" t="s">
        <v>11</v>
      </c>
      <c r="P18" s="1">
        <v>27275</v>
      </c>
      <c r="T18" s="1">
        <f t="shared" si="1"/>
        <v>0</v>
      </c>
      <c r="U18" s="1">
        <f t="shared" si="2"/>
        <v>0</v>
      </c>
      <c r="V18" s="1">
        <f t="shared" si="3"/>
        <v>7268.8</v>
      </c>
      <c r="W18" s="1">
        <f t="shared" si="4"/>
        <v>272.75</v>
      </c>
      <c r="X18" s="1">
        <f t="shared" si="5"/>
        <v>0</v>
      </c>
      <c r="Y18" s="1">
        <f t="shared" si="6"/>
        <v>0</v>
      </c>
      <c r="Z18" s="1">
        <f t="shared" si="7"/>
        <v>77</v>
      </c>
      <c r="AA18" s="1">
        <f t="shared" si="8"/>
        <v>27275</v>
      </c>
    </row>
    <row r="19" spans="2:27" x14ac:dyDescent="0.3">
      <c r="B19" s="12" t="s">
        <v>42</v>
      </c>
      <c r="C19" s="1">
        <v>85.57</v>
      </c>
      <c r="D19" s="1">
        <v>0</v>
      </c>
      <c r="E19" s="1">
        <v>90.45</v>
      </c>
      <c r="F19" s="1">
        <v>91.66</v>
      </c>
      <c r="G19" s="1" t="s">
        <v>11</v>
      </c>
      <c r="H19" s="1">
        <v>11</v>
      </c>
      <c r="I19" s="1">
        <v>85</v>
      </c>
      <c r="J19" s="13" t="s">
        <v>43</v>
      </c>
      <c r="K19" s="1">
        <v>0.01</v>
      </c>
      <c r="L19" s="1">
        <v>0</v>
      </c>
      <c r="M19" s="1" t="s">
        <v>11</v>
      </c>
      <c r="N19" s="1">
        <v>0.01</v>
      </c>
      <c r="O19" s="1" t="s">
        <v>11</v>
      </c>
      <c r="P19" s="1">
        <v>8817</v>
      </c>
      <c r="T19" s="1">
        <f t="shared" si="1"/>
        <v>0</v>
      </c>
      <c r="U19" s="1">
        <f t="shared" si="2"/>
        <v>0</v>
      </c>
      <c r="V19" s="1">
        <f t="shared" si="3"/>
        <v>941.27</v>
      </c>
      <c r="W19" s="1">
        <f t="shared" si="4"/>
        <v>88.17</v>
      </c>
      <c r="X19" s="1">
        <f t="shared" si="5"/>
        <v>0</v>
      </c>
      <c r="Y19" s="1">
        <f t="shared" si="6"/>
        <v>0</v>
      </c>
      <c r="Z19" s="1">
        <f t="shared" si="7"/>
        <v>11</v>
      </c>
      <c r="AA19" s="1">
        <f t="shared" si="8"/>
        <v>8817</v>
      </c>
    </row>
    <row r="20" spans="2:27" x14ac:dyDescent="0.3">
      <c r="B20" s="12" t="s">
        <v>44</v>
      </c>
      <c r="C20" s="1">
        <v>85.9</v>
      </c>
      <c r="D20" s="1">
        <v>1.5</v>
      </c>
      <c r="E20" s="1">
        <v>85.45</v>
      </c>
      <c r="F20" s="1">
        <v>86.66</v>
      </c>
      <c r="G20" s="1">
        <v>1</v>
      </c>
      <c r="H20" s="1">
        <v>67</v>
      </c>
      <c r="I20" s="1">
        <v>90</v>
      </c>
      <c r="J20" s="13" t="s">
        <v>45</v>
      </c>
      <c r="K20" s="1">
        <v>0.01</v>
      </c>
      <c r="L20" s="1">
        <v>0</v>
      </c>
      <c r="M20" s="1" t="s">
        <v>11</v>
      </c>
      <c r="N20" s="1">
        <v>0.02</v>
      </c>
      <c r="O20" s="1" t="s">
        <v>11</v>
      </c>
      <c r="P20" s="1">
        <v>17661</v>
      </c>
      <c r="T20" s="1">
        <f t="shared" si="1"/>
        <v>86.66</v>
      </c>
      <c r="U20" s="1">
        <f t="shared" si="2"/>
        <v>0</v>
      </c>
      <c r="V20" s="1">
        <f t="shared" si="3"/>
        <v>5755.3</v>
      </c>
      <c r="W20" s="1">
        <f t="shared" si="4"/>
        <v>176.61</v>
      </c>
      <c r="X20" s="1">
        <f t="shared" si="5"/>
        <v>1</v>
      </c>
      <c r="Y20" s="1">
        <f t="shared" si="6"/>
        <v>0</v>
      </c>
      <c r="Z20" s="1">
        <f t="shared" si="7"/>
        <v>67</v>
      </c>
      <c r="AA20" s="1">
        <f t="shared" si="8"/>
        <v>17661</v>
      </c>
    </row>
    <row r="21" spans="2:27" x14ac:dyDescent="0.3">
      <c r="B21" s="12" t="s">
        <v>46</v>
      </c>
      <c r="C21" s="1">
        <v>74.31</v>
      </c>
      <c r="D21" s="1">
        <v>0</v>
      </c>
      <c r="E21" s="1">
        <v>80.45</v>
      </c>
      <c r="F21" s="1">
        <v>81.66</v>
      </c>
      <c r="G21" s="1" t="s">
        <v>11</v>
      </c>
      <c r="H21" s="1">
        <v>1</v>
      </c>
      <c r="I21" s="1">
        <v>95</v>
      </c>
      <c r="J21" s="13" t="s">
        <v>47</v>
      </c>
      <c r="K21" s="1">
        <v>0.01</v>
      </c>
      <c r="L21" s="1">
        <v>0</v>
      </c>
      <c r="M21" s="1" t="s">
        <v>11</v>
      </c>
      <c r="N21" s="1">
        <v>0.02</v>
      </c>
      <c r="O21" s="1" t="s">
        <v>11</v>
      </c>
      <c r="P21" s="1">
        <v>17271</v>
      </c>
      <c r="T21" s="1">
        <f t="shared" si="1"/>
        <v>0</v>
      </c>
      <c r="U21" s="1">
        <f t="shared" si="2"/>
        <v>0</v>
      </c>
      <c r="V21" s="1">
        <f t="shared" si="3"/>
        <v>74.31</v>
      </c>
      <c r="W21" s="1">
        <f t="shared" si="4"/>
        <v>172.71</v>
      </c>
      <c r="X21" s="1">
        <f t="shared" si="5"/>
        <v>0</v>
      </c>
      <c r="Y21" s="1">
        <f t="shared" si="6"/>
        <v>0</v>
      </c>
      <c r="Z21" s="1">
        <f t="shared" si="7"/>
        <v>1</v>
      </c>
      <c r="AA21" s="1">
        <f t="shared" si="8"/>
        <v>17271</v>
      </c>
    </row>
    <row r="22" spans="2:27" x14ac:dyDescent="0.3">
      <c r="B22" s="12" t="s">
        <v>48</v>
      </c>
      <c r="C22" s="1">
        <v>74.41</v>
      </c>
      <c r="D22" s="1">
        <v>0</v>
      </c>
      <c r="E22" s="1">
        <v>75.45</v>
      </c>
      <c r="F22" s="1">
        <v>76.66</v>
      </c>
      <c r="G22" s="1" t="s">
        <v>11</v>
      </c>
      <c r="H22" s="1">
        <v>116</v>
      </c>
      <c r="I22" s="1">
        <v>100</v>
      </c>
      <c r="J22" s="13" t="s">
        <v>49</v>
      </c>
      <c r="K22" s="1">
        <v>0.01</v>
      </c>
      <c r="L22" s="1">
        <v>0</v>
      </c>
      <c r="M22" s="1">
        <v>0.01</v>
      </c>
      <c r="N22" s="1">
        <v>0.02</v>
      </c>
      <c r="O22" s="1" t="s">
        <v>11</v>
      </c>
      <c r="P22" s="1">
        <v>134988</v>
      </c>
      <c r="T22" s="1">
        <f t="shared" si="1"/>
        <v>0</v>
      </c>
      <c r="U22" s="1">
        <f t="shared" si="2"/>
        <v>0</v>
      </c>
      <c r="V22" s="1">
        <f t="shared" si="3"/>
        <v>8631.56</v>
      </c>
      <c r="W22" s="1">
        <f t="shared" si="4"/>
        <v>1349.88</v>
      </c>
      <c r="X22" s="1">
        <f t="shared" si="5"/>
        <v>0</v>
      </c>
      <c r="Y22" s="1">
        <f t="shared" si="6"/>
        <v>0</v>
      </c>
      <c r="Z22" s="1">
        <f t="shared" si="7"/>
        <v>116</v>
      </c>
      <c r="AA22" s="1">
        <f t="shared" si="8"/>
        <v>134988</v>
      </c>
    </row>
    <row r="23" spans="2:27" x14ac:dyDescent="0.3">
      <c r="B23" s="12" t="s">
        <v>50</v>
      </c>
      <c r="C23" s="1">
        <v>67.86</v>
      </c>
      <c r="D23" s="1">
        <v>0</v>
      </c>
      <c r="E23" s="1">
        <v>70.45</v>
      </c>
      <c r="F23" s="1">
        <v>71.66</v>
      </c>
      <c r="G23" s="1" t="s">
        <v>11</v>
      </c>
      <c r="H23" s="1">
        <v>0</v>
      </c>
      <c r="I23" s="1">
        <v>105</v>
      </c>
      <c r="J23" s="13" t="s">
        <v>51</v>
      </c>
      <c r="K23" s="1">
        <v>0.02</v>
      </c>
      <c r="L23" s="1">
        <v>0</v>
      </c>
      <c r="M23" s="1" t="s">
        <v>11</v>
      </c>
      <c r="N23" s="1">
        <v>0.02</v>
      </c>
      <c r="O23" s="1" t="s">
        <v>11</v>
      </c>
      <c r="P23" s="1">
        <v>18460</v>
      </c>
      <c r="T23" s="1">
        <f t="shared" si="1"/>
        <v>0</v>
      </c>
      <c r="U23" s="1">
        <f t="shared" si="2"/>
        <v>0</v>
      </c>
      <c r="V23" s="1">
        <f t="shared" si="3"/>
        <v>0</v>
      </c>
      <c r="W23" s="1">
        <f t="shared" si="4"/>
        <v>369.2</v>
      </c>
      <c r="X23" s="1">
        <f t="shared" si="5"/>
        <v>0</v>
      </c>
      <c r="Y23" s="1">
        <f t="shared" si="6"/>
        <v>0</v>
      </c>
      <c r="Z23" s="1">
        <f t="shared" si="7"/>
        <v>0</v>
      </c>
      <c r="AA23" s="1">
        <f t="shared" si="8"/>
        <v>18460</v>
      </c>
    </row>
    <row r="24" spans="2:27" x14ac:dyDescent="0.3">
      <c r="B24" s="12" t="s">
        <v>52</v>
      </c>
      <c r="C24" s="1">
        <v>60.22</v>
      </c>
      <c r="D24" s="1">
        <v>0</v>
      </c>
      <c r="E24" s="1">
        <v>65.459999999999994</v>
      </c>
      <c r="F24" s="1">
        <v>66.67</v>
      </c>
      <c r="G24" s="1" t="s">
        <v>11</v>
      </c>
      <c r="H24" s="1">
        <v>39</v>
      </c>
      <c r="I24" s="1">
        <v>110</v>
      </c>
      <c r="J24" s="13" t="s">
        <v>53</v>
      </c>
      <c r="K24" s="1">
        <v>0.01</v>
      </c>
      <c r="L24" s="1">
        <v>0</v>
      </c>
      <c r="M24" s="1" t="s">
        <v>11</v>
      </c>
      <c r="N24" s="1">
        <v>0.02</v>
      </c>
      <c r="O24" s="1" t="s">
        <v>11</v>
      </c>
      <c r="P24" s="1">
        <v>22818</v>
      </c>
      <c r="T24" s="1">
        <f t="shared" si="1"/>
        <v>0</v>
      </c>
      <c r="U24" s="1">
        <f t="shared" si="2"/>
        <v>0</v>
      </c>
      <c r="V24" s="1">
        <f t="shared" si="3"/>
        <v>2348.58</v>
      </c>
      <c r="W24" s="1">
        <f t="shared" si="4"/>
        <v>228.18</v>
      </c>
      <c r="X24" s="1">
        <f t="shared" si="5"/>
        <v>0</v>
      </c>
      <c r="Y24" s="1">
        <f t="shared" si="6"/>
        <v>0</v>
      </c>
      <c r="Z24" s="1">
        <f t="shared" si="7"/>
        <v>39</v>
      </c>
      <c r="AA24" s="1">
        <f t="shared" si="8"/>
        <v>22818</v>
      </c>
    </row>
    <row r="25" spans="2:27" x14ac:dyDescent="0.3">
      <c r="B25" s="12" t="s">
        <v>54</v>
      </c>
      <c r="C25" s="1">
        <v>54.93</v>
      </c>
      <c r="D25" s="1">
        <v>0</v>
      </c>
      <c r="E25" s="1">
        <v>60.46</v>
      </c>
      <c r="F25" s="1">
        <v>61.67</v>
      </c>
      <c r="G25" s="1" t="s">
        <v>11</v>
      </c>
      <c r="H25" s="1">
        <v>144</v>
      </c>
      <c r="I25" s="1">
        <v>115</v>
      </c>
      <c r="J25" s="13" t="s">
        <v>55</v>
      </c>
      <c r="K25" s="1">
        <v>0.01</v>
      </c>
      <c r="L25" s="1">
        <v>0</v>
      </c>
      <c r="M25" s="1">
        <v>0.01</v>
      </c>
      <c r="N25" s="1">
        <v>0.02</v>
      </c>
      <c r="O25" s="1" t="s">
        <v>11</v>
      </c>
      <c r="P25" s="1">
        <v>96367</v>
      </c>
      <c r="T25" s="1">
        <f t="shared" si="1"/>
        <v>0</v>
      </c>
      <c r="U25" s="1">
        <f t="shared" si="2"/>
        <v>0</v>
      </c>
      <c r="V25" s="1">
        <f t="shared" si="3"/>
        <v>7909.92</v>
      </c>
      <c r="W25" s="1">
        <f t="shared" si="4"/>
        <v>963.67000000000007</v>
      </c>
      <c r="X25" s="1">
        <f t="shared" si="5"/>
        <v>0</v>
      </c>
      <c r="Y25" s="1">
        <f t="shared" si="6"/>
        <v>0</v>
      </c>
      <c r="Z25" s="1">
        <f t="shared" si="7"/>
        <v>144</v>
      </c>
      <c r="AA25" s="1">
        <f t="shared" si="8"/>
        <v>96367</v>
      </c>
    </row>
    <row r="26" spans="2:27" x14ac:dyDescent="0.3">
      <c r="B26" s="12" t="s">
        <v>56</v>
      </c>
      <c r="C26" s="1">
        <v>56.38</v>
      </c>
      <c r="D26" s="1">
        <v>0</v>
      </c>
      <c r="E26" s="1">
        <v>55.47</v>
      </c>
      <c r="F26" s="1">
        <v>56.68</v>
      </c>
      <c r="G26" s="1" t="s">
        <v>11</v>
      </c>
      <c r="H26" s="1">
        <v>825</v>
      </c>
      <c r="I26" s="1">
        <v>120</v>
      </c>
      <c r="J26" s="13" t="s">
        <v>57</v>
      </c>
      <c r="K26" s="1">
        <v>0.02</v>
      </c>
      <c r="L26" s="1">
        <v>0</v>
      </c>
      <c r="M26" s="1">
        <v>0.01</v>
      </c>
      <c r="N26" s="1">
        <v>0.03</v>
      </c>
      <c r="O26" s="1" t="s">
        <v>11</v>
      </c>
      <c r="P26" s="1">
        <v>84574</v>
      </c>
      <c r="T26" s="1">
        <f t="shared" si="1"/>
        <v>0</v>
      </c>
      <c r="U26" s="1">
        <f t="shared" si="2"/>
        <v>0</v>
      </c>
      <c r="V26" s="1">
        <f t="shared" si="3"/>
        <v>46513.5</v>
      </c>
      <c r="W26" s="1">
        <f t="shared" si="4"/>
        <v>1691.48</v>
      </c>
      <c r="X26" s="1">
        <f t="shared" si="5"/>
        <v>0</v>
      </c>
      <c r="Y26" s="1">
        <f t="shared" si="6"/>
        <v>0</v>
      </c>
      <c r="Z26" s="1">
        <f t="shared" si="7"/>
        <v>825</v>
      </c>
      <c r="AA26" s="1">
        <f t="shared" si="8"/>
        <v>84574</v>
      </c>
    </row>
    <row r="27" spans="2:27" x14ac:dyDescent="0.3">
      <c r="B27" s="12" t="s">
        <v>58</v>
      </c>
      <c r="C27" s="1">
        <v>52.48</v>
      </c>
      <c r="D27" s="1">
        <v>0</v>
      </c>
      <c r="E27" s="1">
        <v>50.48</v>
      </c>
      <c r="F27" s="1">
        <v>51.69</v>
      </c>
      <c r="G27" s="1" t="s">
        <v>11</v>
      </c>
      <c r="H27" s="1">
        <v>57158</v>
      </c>
      <c r="I27" s="1">
        <v>125</v>
      </c>
      <c r="J27" s="13" t="s">
        <v>59</v>
      </c>
      <c r="K27" s="1">
        <v>0.02</v>
      </c>
      <c r="L27" s="1">
        <v>-0.01</v>
      </c>
      <c r="M27" s="1">
        <v>0.01</v>
      </c>
      <c r="N27" s="1">
        <v>0.04</v>
      </c>
      <c r="O27" s="1">
        <v>35</v>
      </c>
      <c r="P27" s="1">
        <v>148499</v>
      </c>
      <c r="T27" s="1">
        <f t="shared" si="1"/>
        <v>0</v>
      </c>
      <c r="U27" s="1">
        <f t="shared" si="2"/>
        <v>1.4000000000000001</v>
      </c>
      <c r="V27" s="1">
        <f t="shared" si="3"/>
        <v>2999651.84</v>
      </c>
      <c r="W27" s="1">
        <f t="shared" si="4"/>
        <v>2969.98</v>
      </c>
      <c r="X27" s="1">
        <f t="shared" si="5"/>
        <v>0</v>
      </c>
      <c r="Y27" s="1">
        <f t="shared" si="6"/>
        <v>35</v>
      </c>
      <c r="Z27" s="1">
        <f t="shared" si="7"/>
        <v>57158</v>
      </c>
      <c r="AA27" s="1">
        <f t="shared" si="8"/>
        <v>148499</v>
      </c>
    </row>
    <row r="28" spans="2:27" x14ac:dyDescent="0.3">
      <c r="B28" s="12" t="s">
        <v>60</v>
      </c>
      <c r="C28" s="1">
        <v>46.4</v>
      </c>
      <c r="D28" s="1">
        <v>0</v>
      </c>
      <c r="E28" s="1">
        <v>45.5</v>
      </c>
      <c r="F28" s="1">
        <v>46.71</v>
      </c>
      <c r="G28" s="1" t="s">
        <v>11</v>
      </c>
      <c r="H28" s="1">
        <v>1151</v>
      </c>
      <c r="I28" s="1">
        <v>130</v>
      </c>
      <c r="J28" s="13" t="s">
        <v>61</v>
      </c>
      <c r="K28" s="1">
        <v>0.03</v>
      </c>
      <c r="L28" s="1">
        <v>-0.01</v>
      </c>
      <c r="M28" s="1">
        <v>0.02</v>
      </c>
      <c r="N28" s="1">
        <v>0.04</v>
      </c>
      <c r="O28" s="1">
        <v>15</v>
      </c>
      <c r="P28" s="1">
        <v>46093</v>
      </c>
      <c r="T28" s="1">
        <f t="shared" si="1"/>
        <v>0</v>
      </c>
      <c r="U28" s="1">
        <f t="shared" si="2"/>
        <v>0.6</v>
      </c>
      <c r="V28" s="1">
        <f t="shared" si="3"/>
        <v>53406.400000000001</v>
      </c>
      <c r="W28" s="1">
        <f t="shared" si="4"/>
        <v>1382.79</v>
      </c>
      <c r="X28" s="1">
        <f t="shared" si="5"/>
        <v>0</v>
      </c>
      <c r="Y28" s="1">
        <f t="shared" si="6"/>
        <v>15</v>
      </c>
      <c r="Z28" s="1">
        <f t="shared" si="7"/>
        <v>1151</v>
      </c>
      <c r="AA28" s="1">
        <f t="shared" si="8"/>
        <v>46093</v>
      </c>
    </row>
    <row r="29" spans="2:27" x14ac:dyDescent="0.3">
      <c r="B29" s="12" t="s">
        <v>62</v>
      </c>
      <c r="C29" s="1">
        <v>41.96</v>
      </c>
      <c r="D29" s="1">
        <v>0</v>
      </c>
      <c r="E29" s="1">
        <v>40.51</v>
      </c>
      <c r="F29" s="1">
        <v>41.72</v>
      </c>
      <c r="G29" s="1" t="s">
        <v>11</v>
      </c>
      <c r="H29" s="1">
        <v>537</v>
      </c>
      <c r="I29" s="1">
        <v>135</v>
      </c>
      <c r="J29" s="13" t="s">
        <v>63</v>
      </c>
      <c r="K29" s="1">
        <v>0.06</v>
      </c>
      <c r="L29" s="1">
        <v>0.01</v>
      </c>
      <c r="M29" s="1">
        <v>0.03</v>
      </c>
      <c r="N29" s="1">
        <v>7.0000000000000007E-2</v>
      </c>
      <c r="O29" s="1">
        <v>100</v>
      </c>
      <c r="P29" s="1">
        <v>57423</v>
      </c>
      <c r="T29" s="1">
        <f t="shared" si="1"/>
        <v>0</v>
      </c>
      <c r="U29" s="1">
        <f t="shared" si="2"/>
        <v>7.0000000000000009</v>
      </c>
      <c r="V29" s="1">
        <f t="shared" si="3"/>
        <v>22532.52</v>
      </c>
      <c r="W29" s="1">
        <f t="shared" si="4"/>
        <v>3445.3799999999997</v>
      </c>
      <c r="X29" s="1">
        <f t="shared" si="5"/>
        <v>0</v>
      </c>
      <c r="Y29" s="1">
        <f t="shared" si="6"/>
        <v>100</v>
      </c>
      <c r="Z29" s="1">
        <f t="shared" si="7"/>
        <v>537</v>
      </c>
      <c r="AA29" s="1">
        <f t="shared" si="8"/>
        <v>57423</v>
      </c>
    </row>
    <row r="30" spans="2:27" x14ac:dyDescent="0.3">
      <c r="B30" s="12" t="s">
        <v>64</v>
      </c>
      <c r="C30" s="1">
        <v>37</v>
      </c>
      <c r="D30" s="1">
        <v>0</v>
      </c>
      <c r="E30" s="1">
        <v>35.53</v>
      </c>
      <c r="F30" s="1">
        <v>36.74</v>
      </c>
      <c r="G30" s="1" t="s">
        <v>11</v>
      </c>
      <c r="H30" s="1">
        <v>708</v>
      </c>
      <c r="I30" s="1">
        <v>140</v>
      </c>
      <c r="J30" s="13" t="s">
        <v>65</v>
      </c>
      <c r="K30" s="1">
        <v>7.0000000000000007E-2</v>
      </c>
      <c r="L30" s="1">
        <v>-0.01</v>
      </c>
      <c r="M30" s="1">
        <v>0.05</v>
      </c>
      <c r="N30" s="1">
        <v>0.08</v>
      </c>
      <c r="O30" s="1">
        <v>8</v>
      </c>
      <c r="P30" s="1">
        <v>175044</v>
      </c>
      <c r="T30" s="1">
        <f t="shared" si="1"/>
        <v>0</v>
      </c>
      <c r="U30" s="1">
        <f t="shared" si="2"/>
        <v>0.64</v>
      </c>
      <c r="V30" s="1">
        <f t="shared" si="3"/>
        <v>26196</v>
      </c>
      <c r="W30" s="1">
        <f t="shared" si="4"/>
        <v>12253.080000000002</v>
      </c>
      <c r="X30" s="1">
        <f t="shared" si="5"/>
        <v>0</v>
      </c>
      <c r="Y30" s="1">
        <f t="shared" si="6"/>
        <v>8</v>
      </c>
      <c r="Z30" s="1">
        <f t="shared" si="7"/>
        <v>708</v>
      </c>
      <c r="AA30" s="1">
        <f t="shared" si="8"/>
        <v>175044</v>
      </c>
    </row>
    <row r="31" spans="2:27" x14ac:dyDescent="0.3">
      <c r="B31" s="12" t="s">
        <v>66</v>
      </c>
      <c r="C31" s="1">
        <v>30.6</v>
      </c>
      <c r="D31" s="1">
        <v>0</v>
      </c>
      <c r="E31" s="1">
        <v>30.56</v>
      </c>
      <c r="F31" s="1">
        <v>31.77</v>
      </c>
      <c r="G31" s="1" t="s">
        <v>11</v>
      </c>
      <c r="H31" s="1">
        <v>1611</v>
      </c>
      <c r="I31" s="1">
        <v>145</v>
      </c>
      <c r="J31" s="13" t="s">
        <v>67</v>
      </c>
      <c r="K31" s="1">
        <v>0.1</v>
      </c>
      <c r="L31" s="1">
        <v>-0.02</v>
      </c>
      <c r="M31" s="1">
        <v>0.09</v>
      </c>
      <c r="N31" s="1">
        <v>0.12</v>
      </c>
      <c r="O31" s="1">
        <v>12</v>
      </c>
      <c r="P31" s="1">
        <v>119688</v>
      </c>
      <c r="T31" s="1">
        <f t="shared" si="1"/>
        <v>0</v>
      </c>
      <c r="U31" s="1">
        <f t="shared" si="2"/>
        <v>1.44</v>
      </c>
      <c r="V31" s="1">
        <f t="shared" si="3"/>
        <v>49296.600000000006</v>
      </c>
      <c r="W31" s="1">
        <f t="shared" si="4"/>
        <v>11968.800000000001</v>
      </c>
      <c r="X31" s="1">
        <f t="shared" si="5"/>
        <v>0</v>
      </c>
      <c r="Y31" s="1">
        <f t="shared" si="6"/>
        <v>12</v>
      </c>
      <c r="Z31" s="1">
        <f t="shared" si="7"/>
        <v>1611</v>
      </c>
      <c r="AA31" s="1">
        <f t="shared" si="8"/>
        <v>119688</v>
      </c>
    </row>
    <row r="32" spans="2:27" x14ac:dyDescent="0.3">
      <c r="B32" s="12" t="s">
        <v>68</v>
      </c>
      <c r="C32" s="1">
        <v>25.81</v>
      </c>
      <c r="D32" s="1">
        <v>0</v>
      </c>
      <c r="E32" s="1">
        <v>25.6</v>
      </c>
      <c r="F32" s="1">
        <v>26.81</v>
      </c>
      <c r="G32" s="1" t="s">
        <v>11</v>
      </c>
      <c r="H32" s="1">
        <v>6459</v>
      </c>
      <c r="I32" s="1">
        <v>150</v>
      </c>
      <c r="J32" s="13" t="s">
        <v>69</v>
      </c>
      <c r="K32" s="1">
        <v>0.15</v>
      </c>
      <c r="L32" s="1">
        <v>-0.03</v>
      </c>
      <c r="M32" s="1">
        <v>0.14000000000000001</v>
      </c>
      <c r="N32" s="1">
        <v>0.18</v>
      </c>
      <c r="O32" s="1">
        <v>9701</v>
      </c>
      <c r="P32" s="1">
        <v>93339</v>
      </c>
      <c r="T32" s="1">
        <f t="shared" si="1"/>
        <v>0</v>
      </c>
      <c r="U32" s="1">
        <f t="shared" si="2"/>
        <v>1746.1799999999998</v>
      </c>
      <c r="V32" s="1">
        <f t="shared" si="3"/>
        <v>166706.78999999998</v>
      </c>
      <c r="W32" s="1">
        <f t="shared" si="4"/>
        <v>14000.85</v>
      </c>
      <c r="X32" s="1">
        <f t="shared" si="5"/>
        <v>0</v>
      </c>
      <c r="Y32" s="1">
        <f t="shared" si="6"/>
        <v>9701</v>
      </c>
      <c r="Z32" s="1">
        <f t="shared" si="7"/>
        <v>6459</v>
      </c>
      <c r="AA32" s="1">
        <f t="shared" si="8"/>
        <v>93339</v>
      </c>
    </row>
    <row r="33" spans="2:27" x14ac:dyDescent="0.3">
      <c r="B33" s="12" t="s">
        <v>70</v>
      </c>
      <c r="C33" s="1">
        <v>21.3</v>
      </c>
      <c r="D33" s="1">
        <v>-1.24</v>
      </c>
      <c r="E33" s="1">
        <v>20.67</v>
      </c>
      <c r="F33" s="1">
        <v>21.88</v>
      </c>
      <c r="G33" s="1">
        <v>71</v>
      </c>
      <c r="H33" s="1">
        <v>28402</v>
      </c>
      <c r="I33" s="1">
        <v>155</v>
      </c>
      <c r="J33" s="13" t="s">
        <v>71</v>
      </c>
      <c r="K33" s="1">
        <v>0.24</v>
      </c>
      <c r="L33" s="1">
        <v>-0.04</v>
      </c>
      <c r="M33" s="1">
        <v>0.23</v>
      </c>
      <c r="N33" s="1">
        <v>0.27</v>
      </c>
      <c r="O33" s="1">
        <v>679</v>
      </c>
      <c r="P33" s="1">
        <v>158613</v>
      </c>
      <c r="T33" s="1">
        <f t="shared" si="1"/>
        <v>1553.48</v>
      </c>
      <c r="U33" s="1">
        <f t="shared" si="2"/>
        <v>183.33</v>
      </c>
      <c r="V33" s="1">
        <f t="shared" si="3"/>
        <v>604962.6</v>
      </c>
      <c r="W33" s="1">
        <f t="shared" si="4"/>
        <v>38067.119999999995</v>
      </c>
      <c r="X33" s="1">
        <f t="shared" si="5"/>
        <v>71</v>
      </c>
      <c r="Y33" s="1">
        <f t="shared" si="6"/>
        <v>679</v>
      </c>
      <c r="Z33" s="1">
        <f t="shared" si="7"/>
        <v>28402</v>
      </c>
      <c r="AA33" s="1">
        <f t="shared" si="8"/>
        <v>158613</v>
      </c>
    </row>
    <row r="34" spans="2:27" x14ac:dyDescent="0.3">
      <c r="B34" s="12" t="s">
        <v>72</v>
      </c>
      <c r="C34" s="1">
        <v>16.41</v>
      </c>
      <c r="D34" s="1">
        <v>0.16</v>
      </c>
      <c r="E34" s="1">
        <v>15.8</v>
      </c>
      <c r="F34" s="1">
        <v>17.010000000000002</v>
      </c>
      <c r="G34" s="1">
        <v>6</v>
      </c>
      <c r="H34" s="1">
        <v>55434</v>
      </c>
      <c r="I34" s="1">
        <v>160</v>
      </c>
      <c r="J34" s="13" t="s">
        <v>73</v>
      </c>
      <c r="K34" s="1">
        <v>0.4</v>
      </c>
      <c r="L34" s="1">
        <v>-0.06</v>
      </c>
      <c r="M34" s="1">
        <v>0.4</v>
      </c>
      <c r="N34" s="1">
        <v>0.44</v>
      </c>
      <c r="O34" s="1">
        <v>1942</v>
      </c>
      <c r="P34" s="1">
        <v>146758</v>
      </c>
      <c r="T34" s="1">
        <f t="shared" si="1"/>
        <v>102.06</v>
      </c>
      <c r="U34" s="1">
        <f t="shared" si="2"/>
        <v>854.48</v>
      </c>
      <c r="V34" s="1">
        <f t="shared" si="3"/>
        <v>909671.94000000006</v>
      </c>
      <c r="W34" s="1">
        <f t="shared" si="4"/>
        <v>58703.200000000004</v>
      </c>
      <c r="X34" s="1">
        <f t="shared" si="5"/>
        <v>6</v>
      </c>
      <c r="Y34" s="1">
        <f t="shared" si="6"/>
        <v>1942</v>
      </c>
      <c r="Z34" s="1">
        <f t="shared" si="7"/>
        <v>55434</v>
      </c>
      <c r="AA34" s="1">
        <f t="shared" si="8"/>
        <v>146758</v>
      </c>
    </row>
    <row r="35" spans="2:27" x14ac:dyDescent="0.3">
      <c r="B35" s="12" t="s">
        <v>74</v>
      </c>
      <c r="C35" s="1">
        <v>11.95</v>
      </c>
      <c r="D35" s="1">
        <v>0.37</v>
      </c>
      <c r="E35" s="1">
        <v>11.08</v>
      </c>
      <c r="F35" s="1">
        <v>12.29</v>
      </c>
      <c r="G35" s="1">
        <v>158</v>
      </c>
      <c r="H35" s="1">
        <v>63944</v>
      </c>
      <c r="I35" s="1">
        <v>165</v>
      </c>
      <c r="J35" s="13" t="s">
        <v>75</v>
      </c>
      <c r="K35" s="1">
        <v>0.78</v>
      </c>
      <c r="L35" s="1">
        <v>-0.05</v>
      </c>
      <c r="M35" s="1">
        <v>0.75</v>
      </c>
      <c r="N35" s="1">
        <v>0.8</v>
      </c>
      <c r="O35" s="1">
        <v>1143</v>
      </c>
      <c r="P35" s="1">
        <v>91129</v>
      </c>
      <c r="T35" s="1">
        <f t="shared" si="1"/>
        <v>1941.82</v>
      </c>
      <c r="U35" s="1">
        <f t="shared" si="2"/>
        <v>914.40000000000009</v>
      </c>
      <c r="V35" s="1">
        <f t="shared" si="3"/>
        <v>764130.79999999993</v>
      </c>
      <c r="W35" s="1">
        <f t="shared" si="4"/>
        <v>71080.62</v>
      </c>
      <c r="X35" s="1">
        <f t="shared" si="5"/>
        <v>158</v>
      </c>
      <c r="Y35" s="1">
        <f t="shared" si="6"/>
        <v>1143</v>
      </c>
      <c r="Z35" s="1">
        <f t="shared" si="7"/>
        <v>63944</v>
      </c>
      <c r="AA35" s="1">
        <f t="shared" si="8"/>
        <v>91129</v>
      </c>
    </row>
    <row r="36" spans="2:27" x14ac:dyDescent="0.3">
      <c r="B36" s="12" t="s">
        <v>76</v>
      </c>
      <c r="C36" s="1">
        <v>7.23</v>
      </c>
      <c r="D36" s="1">
        <v>-0.09</v>
      </c>
      <c r="E36" s="1">
        <v>6.69</v>
      </c>
      <c r="F36" s="1">
        <v>7.9</v>
      </c>
      <c r="G36" s="1">
        <v>228</v>
      </c>
      <c r="H36" s="1">
        <v>111471</v>
      </c>
      <c r="I36" s="1">
        <v>170</v>
      </c>
      <c r="J36" s="13" t="s">
        <v>77</v>
      </c>
      <c r="K36" s="1">
        <v>1.53</v>
      </c>
      <c r="L36" s="1">
        <v>-0.04</v>
      </c>
      <c r="M36" s="1">
        <v>1.53</v>
      </c>
      <c r="N36" s="1">
        <v>1.54</v>
      </c>
      <c r="O36" s="1">
        <v>29680</v>
      </c>
      <c r="P36" s="1">
        <v>195375</v>
      </c>
      <c r="T36" s="1">
        <f t="shared" si="1"/>
        <v>1801.2</v>
      </c>
      <c r="U36" s="1">
        <f t="shared" si="2"/>
        <v>45707.200000000004</v>
      </c>
      <c r="V36" s="1">
        <f t="shared" si="3"/>
        <v>805935.33000000007</v>
      </c>
      <c r="W36" s="1">
        <f t="shared" si="4"/>
        <v>298923.75</v>
      </c>
      <c r="X36" s="1">
        <f t="shared" si="5"/>
        <v>228</v>
      </c>
      <c r="Y36" s="1">
        <f t="shared" si="6"/>
        <v>29680</v>
      </c>
      <c r="Z36" s="1">
        <f t="shared" si="7"/>
        <v>111471</v>
      </c>
      <c r="AA36" s="1">
        <f t="shared" si="8"/>
        <v>195375</v>
      </c>
    </row>
    <row r="37" spans="2:27" x14ac:dyDescent="0.3">
      <c r="B37" s="12" t="s">
        <v>78</v>
      </c>
      <c r="C37" s="1">
        <v>3.55</v>
      </c>
      <c r="D37" s="1">
        <v>-0.1</v>
      </c>
      <c r="E37" s="1">
        <v>3.5</v>
      </c>
      <c r="F37" s="1">
        <v>3.64</v>
      </c>
      <c r="G37" s="1">
        <v>4693</v>
      </c>
      <c r="H37" s="1">
        <v>143449</v>
      </c>
      <c r="I37" s="1">
        <v>175</v>
      </c>
      <c r="J37" s="13" t="s">
        <v>79</v>
      </c>
      <c r="K37" s="1">
        <v>3.05</v>
      </c>
      <c r="L37" s="1">
        <v>-0.05</v>
      </c>
      <c r="M37" s="1">
        <v>3</v>
      </c>
      <c r="N37" s="1">
        <v>3.07</v>
      </c>
      <c r="O37" s="1">
        <v>17214</v>
      </c>
      <c r="P37" s="1">
        <v>64352</v>
      </c>
      <c r="T37" s="1">
        <f t="shared" si="1"/>
        <v>17082.52</v>
      </c>
      <c r="U37" s="1">
        <f t="shared" si="2"/>
        <v>52846.979999999996</v>
      </c>
      <c r="V37" s="1">
        <f t="shared" si="3"/>
        <v>509243.94999999995</v>
      </c>
      <c r="W37" s="1">
        <f t="shared" si="4"/>
        <v>196273.59999999998</v>
      </c>
      <c r="X37" s="1">
        <f t="shared" si="5"/>
        <v>4693</v>
      </c>
      <c r="Y37" s="1">
        <f t="shared" si="6"/>
        <v>17214</v>
      </c>
      <c r="Z37" s="1">
        <f t="shared" si="7"/>
        <v>143449</v>
      </c>
      <c r="AA37" s="1">
        <f t="shared" si="8"/>
        <v>64352</v>
      </c>
    </row>
    <row r="38" spans="2:27" x14ac:dyDescent="0.3">
      <c r="B38" s="12" t="s">
        <v>80</v>
      </c>
      <c r="C38" s="1">
        <v>1.17</v>
      </c>
      <c r="D38" s="1">
        <v>-7.0000000000000007E-2</v>
      </c>
      <c r="E38" s="1">
        <v>1.1399999999999999</v>
      </c>
      <c r="F38" s="1">
        <v>1.2</v>
      </c>
      <c r="G38" s="1">
        <v>5086</v>
      </c>
      <c r="H38" s="1">
        <v>146573</v>
      </c>
      <c r="I38" s="1">
        <v>180</v>
      </c>
      <c r="J38" s="13" t="s">
        <v>81</v>
      </c>
      <c r="K38" s="1">
        <v>5.64</v>
      </c>
      <c r="L38" s="1">
        <v>-0.43</v>
      </c>
      <c r="M38" s="1">
        <v>5.77</v>
      </c>
      <c r="N38" s="1">
        <v>6.09</v>
      </c>
      <c r="O38" s="1">
        <v>534</v>
      </c>
      <c r="P38" s="1">
        <v>24768</v>
      </c>
      <c r="T38" s="1">
        <f t="shared" si="1"/>
        <v>6103.2</v>
      </c>
      <c r="U38" s="1">
        <f>IF(AND(O38="-"),0,O38*N38)</f>
        <v>3252.06</v>
      </c>
      <c r="V38" s="1">
        <f t="shared" si="3"/>
        <v>171490.41</v>
      </c>
      <c r="W38" s="1">
        <f t="shared" si="4"/>
        <v>139691.51999999999</v>
      </c>
      <c r="X38" s="1">
        <f t="shared" si="5"/>
        <v>5086</v>
      </c>
      <c r="Y38" s="1">
        <f t="shared" si="6"/>
        <v>534</v>
      </c>
      <c r="Z38" s="1">
        <f t="shared" si="7"/>
        <v>146573</v>
      </c>
      <c r="AA38" s="1">
        <f t="shared" si="8"/>
        <v>24768</v>
      </c>
    </row>
    <row r="39" spans="2:27" x14ac:dyDescent="0.3">
      <c r="B39" s="12" t="s">
        <v>82</v>
      </c>
      <c r="C39" s="1">
        <v>0.26</v>
      </c>
      <c r="D39" s="1">
        <v>-0.02</v>
      </c>
      <c r="E39" s="1">
        <v>0.22</v>
      </c>
      <c r="F39" s="1">
        <v>0.26</v>
      </c>
      <c r="G39" s="1">
        <v>10806</v>
      </c>
      <c r="H39" s="1">
        <v>139413</v>
      </c>
      <c r="I39" s="1">
        <v>185</v>
      </c>
      <c r="J39" s="13" t="s">
        <v>83</v>
      </c>
      <c r="K39" s="1">
        <v>9.85</v>
      </c>
      <c r="L39" s="1">
        <v>-0.35</v>
      </c>
      <c r="M39" s="1">
        <v>9.52</v>
      </c>
      <c r="N39" s="1">
        <v>10.73</v>
      </c>
      <c r="O39" s="1">
        <v>38</v>
      </c>
      <c r="P39" s="1">
        <v>38105</v>
      </c>
      <c r="T39" s="1">
        <f t="shared" si="1"/>
        <v>2809.56</v>
      </c>
      <c r="U39" s="1">
        <f t="shared" si="2"/>
        <v>407.74</v>
      </c>
      <c r="V39" s="1">
        <f t="shared" si="3"/>
        <v>36247.380000000005</v>
      </c>
      <c r="W39" s="1">
        <f t="shared" si="4"/>
        <v>375334.25</v>
      </c>
      <c r="X39" s="1">
        <f t="shared" si="5"/>
        <v>10806</v>
      </c>
      <c r="Y39" s="1">
        <f t="shared" si="6"/>
        <v>38</v>
      </c>
      <c r="Z39" s="1">
        <f t="shared" si="7"/>
        <v>139413</v>
      </c>
      <c r="AA39" s="1">
        <f t="shared" si="8"/>
        <v>38105</v>
      </c>
    </row>
    <row r="40" spans="2:27" x14ac:dyDescent="0.3">
      <c r="B40" s="12" t="s">
        <v>84</v>
      </c>
      <c r="C40" s="1">
        <v>7.0000000000000007E-2</v>
      </c>
      <c r="D40" s="1">
        <v>-0.02</v>
      </c>
      <c r="E40" s="1">
        <v>0.05</v>
      </c>
      <c r="F40" s="1">
        <v>7.0000000000000007E-2</v>
      </c>
      <c r="G40" s="1">
        <v>37</v>
      </c>
      <c r="H40" s="1">
        <v>55256</v>
      </c>
      <c r="I40" s="1">
        <v>190</v>
      </c>
      <c r="J40" s="13" t="s">
        <v>85</v>
      </c>
      <c r="K40" s="1">
        <v>13.74</v>
      </c>
      <c r="L40" s="1">
        <v>0</v>
      </c>
      <c r="M40" s="1">
        <v>14.37</v>
      </c>
      <c r="N40" s="1">
        <v>15.58</v>
      </c>
      <c r="O40" s="1" t="s">
        <v>11</v>
      </c>
      <c r="P40" s="1">
        <v>108</v>
      </c>
      <c r="T40" s="1">
        <f t="shared" si="1"/>
        <v>2.5900000000000003</v>
      </c>
      <c r="U40" s="1">
        <f t="shared" si="2"/>
        <v>0</v>
      </c>
      <c r="V40" s="1">
        <f t="shared" si="3"/>
        <v>3867.9200000000005</v>
      </c>
      <c r="W40" s="1">
        <f t="shared" si="4"/>
        <v>1483.92</v>
      </c>
      <c r="X40" s="1">
        <f t="shared" si="5"/>
        <v>37</v>
      </c>
      <c r="Y40" s="1">
        <f t="shared" si="6"/>
        <v>0</v>
      </c>
      <c r="Z40" s="1">
        <f t="shared" si="7"/>
        <v>55256</v>
      </c>
      <c r="AA40" s="1">
        <f t="shared" si="8"/>
        <v>108</v>
      </c>
    </row>
    <row r="41" spans="2:27" x14ac:dyDescent="0.3">
      <c r="B41" s="12" t="s">
        <v>86</v>
      </c>
      <c r="C41" s="1">
        <v>0.02</v>
      </c>
      <c r="D41" s="1">
        <v>-0.02</v>
      </c>
      <c r="E41" s="1" t="s">
        <v>11</v>
      </c>
      <c r="F41" s="1">
        <v>0.03</v>
      </c>
      <c r="G41" s="1">
        <v>55</v>
      </c>
      <c r="H41" s="1">
        <v>18328</v>
      </c>
      <c r="I41" s="1">
        <v>195</v>
      </c>
      <c r="J41" s="13" t="s">
        <v>87</v>
      </c>
      <c r="K41" s="1">
        <v>20.55</v>
      </c>
      <c r="L41" s="1">
        <v>-1.0900000000000001</v>
      </c>
      <c r="M41" s="1">
        <v>19.34</v>
      </c>
      <c r="N41" s="1">
        <v>20.55</v>
      </c>
      <c r="O41" s="1">
        <v>20</v>
      </c>
      <c r="P41" s="1">
        <v>101</v>
      </c>
      <c r="T41" s="1">
        <f t="shared" si="1"/>
        <v>1.65</v>
      </c>
      <c r="U41" s="1">
        <f t="shared" si="2"/>
        <v>411</v>
      </c>
      <c r="V41" s="1">
        <f t="shared" si="3"/>
        <v>366.56</v>
      </c>
      <c r="W41" s="1">
        <f t="shared" si="4"/>
        <v>2075.5500000000002</v>
      </c>
      <c r="X41" s="1">
        <f t="shared" si="5"/>
        <v>55</v>
      </c>
      <c r="Y41" s="1">
        <f t="shared" si="6"/>
        <v>20</v>
      </c>
      <c r="Z41" s="1">
        <f t="shared" si="7"/>
        <v>18328</v>
      </c>
      <c r="AA41" s="1">
        <f t="shared" si="8"/>
        <v>101</v>
      </c>
    </row>
    <row r="42" spans="2:27" x14ac:dyDescent="0.3">
      <c r="B42" s="12" t="s">
        <v>88</v>
      </c>
      <c r="C42" s="1">
        <v>0.01</v>
      </c>
      <c r="D42" s="1">
        <v>0</v>
      </c>
      <c r="E42" s="1" t="s">
        <v>11</v>
      </c>
      <c r="F42" s="1">
        <v>0.02</v>
      </c>
      <c r="G42" s="1" t="s">
        <v>11</v>
      </c>
      <c r="H42" s="1">
        <v>42115</v>
      </c>
      <c r="I42" s="1">
        <v>200</v>
      </c>
      <c r="J42" s="13" t="s">
        <v>89</v>
      </c>
      <c r="K42" s="1">
        <v>24.15</v>
      </c>
      <c r="L42" s="1">
        <v>0</v>
      </c>
      <c r="M42" s="1">
        <v>24.33</v>
      </c>
      <c r="N42" s="1">
        <v>25.54</v>
      </c>
      <c r="O42" s="1" t="s">
        <v>11</v>
      </c>
      <c r="P42" s="1">
        <v>1195</v>
      </c>
      <c r="T42" s="1">
        <f t="shared" si="1"/>
        <v>0</v>
      </c>
      <c r="U42" s="1">
        <f t="shared" si="2"/>
        <v>0</v>
      </c>
      <c r="V42" s="1">
        <f t="shared" si="3"/>
        <v>421.15000000000003</v>
      </c>
      <c r="W42" s="1">
        <f t="shared" si="4"/>
        <v>28859.25</v>
      </c>
      <c r="X42" s="1">
        <f t="shared" si="5"/>
        <v>0</v>
      </c>
      <c r="Y42" s="1">
        <f t="shared" si="6"/>
        <v>0</v>
      </c>
      <c r="Z42" s="1">
        <f t="shared" si="7"/>
        <v>42115</v>
      </c>
      <c r="AA42" s="1">
        <f t="shared" si="8"/>
        <v>1195</v>
      </c>
    </row>
    <row r="43" spans="2:27" x14ac:dyDescent="0.3">
      <c r="B43" s="12" t="s">
        <v>90</v>
      </c>
      <c r="C43" s="1">
        <v>0.01</v>
      </c>
      <c r="D43" s="1">
        <v>0</v>
      </c>
      <c r="E43" s="1" t="s">
        <v>11</v>
      </c>
      <c r="F43" s="1">
        <v>0.01</v>
      </c>
      <c r="G43" s="1" t="s">
        <v>11</v>
      </c>
      <c r="H43" s="1">
        <v>3624</v>
      </c>
      <c r="I43" s="1">
        <v>205</v>
      </c>
      <c r="J43" s="13" t="s">
        <v>91</v>
      </c>
      <c r="K43" s="1">
        <v>29.22</v>
      </c>
      <c r="L43" s="1">
        <v>0</v>
      </c>
      <c r="M43" s="1">
        <v>29.32</v>
      </c>
      <c r="N43" s="1">
        <v>30.53</v>
      </c>
      <c r="O43" s="1" t="s">
        <v>11</v>
      </c>
      <c r="P43" s="1">
        <v>284</v>
      </c>
      <c r="T43" s="1">
        <f t="shared" si="1"/>
        <v>0</v>
      </c>
      <c r="U43" s="1">
        <f t="shared" si="2"/>
        <v>0</v>
      </c>
      <c r="V43" s="1">
        <f t="shared" si="3"/>
        <v>36.24</v>
      </c>
      <c r="W43" s="1">
        <f t="shared" si="4"/>
        <v>8298.48</v>
      </c>
      <c r="X43" s="1">
        <f t="shared" si="5"/>
        <v>0</v>
      </c>
      <c r="Y43" s="1">
        <f t="shared" si="6"/>
        <v>0</v>
      </c>
      <c r="Z43" s="1">
        <f t="shared" si="7"/>
        <v>3624</v>
      </c>
      <c r="AA43" s="1">
        <f t="shared" si="8"/>
        <v>284</v>
      </c>
    </row>
    <row r="44" spans="2:27" x14ac:dyDescent="0.3">
      <c r="B44" s="12" t="s">
        <v>92</v>
      </c>
      <c r="C44" s="1">
        <v>0.01</v>
      </c>
      <c r="D44" s="1">
        <v>0</v>
      </c>
      <c r="E44" s="1" t="s">
        <v>11</v>
      </c>
      <c r="F44" s="1">
        <v>0.02</v>
      </c>
      <c r="G44" s="1" t="s">
        <v>11</v>
      </c>
      <c r="H44" s="1">
        <v>23106</v>
      </c>
      <c r="I44" s="1">
        <v>210</v>
      </c>
      <c r="J44" s="13" t="s">
        <v>93</v>
      </c>
      <c r="K44" s="1">
        <v>38.86</v>
      </c>
      <c r="L44" s="1">
        <v>0</v>
      </c>
      <c r="M44" s="1">
        <v>34.31</v>
      </c>
      <c r="N44" s="1">
        <v>35.520000000000003</v>
      </c>
      <c r="O44" s="1" t="s">
        <v>11</v>
      </c>
      <c r="P44" s="1">
        <v>2315</v>
      </c>
      <c r="T44" s="1">
        <f t="shared" si="1"/>
        <v>0</v>
      </c>
      <c r="U44" s="1">
        <f t="shared" si="2"/>
        <v>0</v>
      </c>
      <c r="V44" s="1">
        <f t="shared" si="3"/>
        <v>231.06</v>
      </c>
      <c r="W44" s="1">
        <f t="shared" si="4"/>
        <v>89960.9</v>
      </c>
      <c r="X44" s="1">
        <f t="shared" si="5"/>
        <v>0</v>
      </c>
      <c r="Y44" s="1">
        <f t="shared" si="6"/>
        <v>0</v>
      </c>
      <c r="Z44" s="1">
        <f t="shared" si="7"/>
        <v>23106</v>
      </c>
      <c r="AA44" s="1">
        <f t="shared" si="8"/>
        <v>2315</v>
      </c>
    </row>
    <row r="45" spans="2:27" x14ac:dyDescent="0.3">
      <c r="B45" s="12" t="s">
        <v>94</v>
      </c>
      <c r="C45" s="1">
        <v>149.5</v>
      </c>
      <c r="D45" s="1">
        <v>0</v>
      </c>
      <c r="E45" s="1">
        <v>155.41999999999999</v>
      </c>
      <c r="F45" s="1">
        <v>156.63</v>
      </c>
      <c r="G45" s="1" t="s">
        <v>11</v>
      </c>
      <c r="H45" s="1">
        <v>2</v>
      </c>
      <c r="I45" s="1">
        <v>20</v>
      </c>
      <c r="J45" s="13" t="s">
        <v>95</v>
      </c>
      <c r="K45" s="1">
        <v>0.01</v>
      </c>
      <c r="L45" s="1">
        <v>0</v>
      </c>
      <c r="M45" s="1" t="s">
        <v>11</v>
      </c>
      <c r="N45" s="1">
        <v>0.02</v>
      </c>
      <c r="O45" s="1" t="s">
        <v>11</v>
      </c>
      <c r="P45" s="1">
        <v>3452</v>
      </c>
      <c r="T45" s="1">
        <f t="shared" si="1"/>
        <v>0</v>
      </c>
      <c r="U45" s="1">
        <f t="shared" si="2"/>
        <v>0</v>
      </c>
      <c r="V45" s="1">
        <f t="shared" si="3"/>
        <v>299</v>
      </c>
      <c r="W45" s="1">
        <f t="shared" si="4"/>
        <v>34.520000000000003</v>
      </c>
      <c r="X45" s="1">
        <f t="shared" si="5"/>
        <v>0</v>
      </c>
      <c r="Y45" s="1">
        <f t="shared" si="6"/>
        <v>0</v>
      </c>
      <c r="Z45" s="1">
        <f t="shared" si="7"/>
        <v>2</v>
      </c>
      <c r="AA45" s="1">
        <f t="shared" si="8"/>
        <v>3452</v>
      </c>
    </row>
    <row r="46" spans="2:27" x14ac:dyDescent="0.3">
      <c r="B46" s="12" t="s">
        <v>96</v>
      </c>
      <c r="C46" s="1" t="s">
        <v>11</v>
      </c>
      <c r="D46" s="1" t="s">
        <v>11</v>
      </c>
      <c r="E46" s="1">
        <v>150.41999999999999</v>
      </c>
      <c r="F46" s="1">
        <v>151.63</v>
      </c>
      <c r="G46" s="1" t="s">
        <v>11</v>
      </c>
      <c r="H46" s="1">
        <v>0</v>
      </c>
      <c r="I46" s="1">
        <v>25</v>
      </c>
      <c r="J46" s="13" t="s">
        <v>97</v>
      </c>
      <c r="K46" s="1" t="s">
        <v>11</v>
      </c>
      <c r="L46" s="1" t="s">
        <v>11</v>
      </c>
      <c r="M46" s="1" t="s">
        <v>11</v>
      </c>
      <c r="N46" s="1">
        <v>0.02</v>
      </c>
      <c r="O46" s="1" t="s">
        <v>11</v>
      </c>
      <c r="P46" s="1">
        <v>0</v>
      </c>
      <c r="T46" s="1">
        <f t="shared" si="1"/>
        <v>0</v>
      </c>
      <c r="U46" s="1">
        <f t="shared" si="2"/>
        <v>0</v>
      </c>
      <c r="V46" s="1">
        <f t="shared" si="3"/>
        <v>0</v>
      </c>
      <c r="W46" s="1">
        <f t="shared" si="4"/>
        <v>0</v>
      </c>
      <c r="X46" s="1">
        <f t="shared" si="5"/>
        <v>0</v>
      </c>
      <c r="Y46" s="1">
        <f t="shared" si="6"/>
        <v>0</v>
      </c>
      <c r="Z46" s="1">
        <f t="shared" si="7"/>
        <v>0</v>
      </c>
      <c r="AA46" s="1">
        <f t="shared" si="8"/>
        <v>0</v>
      </c>
    </row>
    <row r="47" spans="2:27" x14ac:dyDescent="0.3">
      <c r="B47" s="12" t="s">
        <v>98</v>
      </c>
      <c r="C47" s="1">
        <v>137.4</v>
      </c>
      <c r="D47" s="1">
        <v>0</v>
      </c>
      <c r="E47" s="1">
        <v>145.43</v>
      </c>
      <c r="F47" s="1">
        <v>146.63999999999999</v>
      </c>
      <c r="G47" s="1" t="s">
        <v>11</v>
      </c>
      <c r="H47" s="1">
        <v>0</v>
      </c>
      <c r="I47" s="1">
        <v>30</v>
      </c>
      <c r="J47" s="13" t="s">
        <v>99</v>
      </c>
      <c r="K47" s="1">
        <v>0.05</v>
      </c>
      <c r="L47" s="1">
        <v>0</v>
      </c>
      <c r="M47" s="1">
        <v>0.01</v>
      </c>
      <c r="N47" s="1">
        <v>0.02</v>
      </c>
      <c r="O47" s="1" t="s">
        <v>11</v>
      </c>
      <c r="P47" s="1">
        <v>950</v>
      </c>
      <c r="T47" s="1">
        <f t="shared" si="1"/>
        <v>0</v>
      </c>
      <c r="U47" s="1">
        <f t="shared" si="2"/>
        <v>0</v>
      </c>
      <c r="V47" s="1">
        <f t="shared" si="3"/>
        <v>0</v>
      </c>
      <c r="W47" s="1">
        <f t="shared" si="4"/>
        <v>47.5</v>
      </c>
      <c r="X47" s="1">
        <f t="shared" si="5"/>
        <v>0</v>
      </c>
      <c r="Y47" s="1">
        <f t="shared" si="6"/>
        <v>0</v>
      </c>
      <c r="Z47" s="1">
        <f t="shared" si="7"/>
        <v>0</v>
      </c>
      <c r="AA47" s="1">
        <f t="shared" si="8"/>
        <v>950</v>
      </c>
    </row>
    <row r="48" spans="2:27" x14ac:dyDescent="0.3">
      <c r="B48" s="12" t="s">
        <v>100</v>
      </c>
      <c r="C48" s="1" t="s">
        <v>11</v>
      </c>
      <c r="D48" s="1" t="s">
        <v>11</v>
      </c>
      <c r="E48" s="1">
        <v>140.43</v>
      </c>
      <c r="F48" s="1">
        <v>141.63999999999999</v>
      </c>
      <c r="G48" s="1" t="s">
        <v>11</v>
      </c>
      <c r="H48" s="1">
        <v>0</v>
      </c>
      <c r="I48" s="1">
        <v>35</v>
      </c>
      <c r="J48" s="13" t="s">
        <v>101</v>
      </c>
      <c r="K48" s="1">
        <v>0.02</v>
      </c>
      <c r="L48" s="1">
        <v>0</v>
      </c>
      <c r="M48" s="1">
        <v>0.01</v>
      </c>
      <c r="N48" s="1">
        <v>0.02</v>
      </c>
      <c r="O48" s="1" t="s">
        <v>11</v>
      </c>
      <c r="P48" s="1">
        <v>1260</v>
      </c>
      <c r="T48" s="1">
        <f t="shared" si="1"/>
        <v>0</v>
      </c>
      <c r="U48" s="1">
        <f t="shared" si="2"/>
        <v>0</v>
      </c>
      <c r="V48" s="1">
        <f t="shared" si="3"/>
        <v>0</v>
      </c>
      <c r="W48" s="1">
        <f t="shared" si="4"/>
        <v>25.2</v>
      </c>
      <c r="X48" s="1">
        <f t="shared" si="5"/>
        <v>0</v>
      </c>
      <c r="Y48" s="1">
        <f t="shared" si="6"/>
        <v>0</v>
      </c>
      <c r="Z48" s="1">
        <f t="shared" si="7"/>
        <v>0</v>
      </c>
      <c r="AA48" s="1">
        <f t="shared" si="8"/>
        <v>1260</v>
      </c>
    </row>
    <row r="49" spans="2:27" x14ac:dyDescent="0.3">
      <c r="B49" s="12" t="s">
        <v>102</v>
      </c>
      <c r="C49" s="1" t="s">
        <v>11</v>
      </c>
      <c r="D49" s="1" t="s">
        <v>11</v>
      </c>
      <c r="E49" s="1">
        <v>135.43</v>
      </c>
      <c r="F49" s="1">
        <v>136.63999999999999</v>
      </c>
      <c r="G49" s="1" t="s">
        <v>11</v>
      </c>
      <c r="H49" s="1">
        <v>0</v>
      </c>
      <c r="I49" s="1">
        <v>40</v>
      </c>
      <c r="J49" s="13" t="s">
        <v>103</v>
      </c>
      <c r="K49" s="1">
        <v>0.14000000000000001</v>
      </c>
      <c r="L49" s="1">
        <v>0</v>
      </c>
      <c r="M49" s="1">
        <v>0.01</v>
      </c>
      <c r="N49" s="1">
        <v>0.02</v>
      </c>
      <c r="O49" s="1" t="s">
        <v>11</v>
      </c>
      <c r="P49" s="1">
        <v>500</v>
      </c>
      <c r="T49" s="1">
        <f t="shared" si="1"/>
        <v>0</v>
      </c>
      <c r="U49" s="1">
        <f t="shared" si="2"/>
        <v>0</v>
      </c>
      <c r="V49" s="1">
        <f t="shared" si="3"/>
        <v>0</v>
      </c>
      <c r="W49" s="1">
        <f t="shared" si="4"/>
        <v>70</v>
      </c>
      <c r="X49" s="1">
        <f t="shared" si="5"/>
        <v>0</v>
      </c>
      <c r="Y49" s="1">
        <f t="shared" si="6"/>
        <v>0</v>
      </c>
      <c r="Z49" s="1">
        <f t="shared" si="7"/>
        <v>0</v>
      </c>
      <c r="AA49" s="1">
        <f t="shared" si="8"/>
        <v>500</v>
      </c>
    </row>
    <row r="50" spans="2:27" x14ac:dyDescent="0.3">
      <c r="B50" s="12" t="s">
        <v>104</v>
      </c>
      <c r="C50" s="1">
        <v>105.3</v>
      </c>
      <c r="D50" s="1">
        <v>0</v>
      </c>
      <c r="E50" s="1">
        <v>130.43</v>
      </c>
      <c r="F50" s="1">
        <v>131.63999999999999</v>
      </c>
      <c r="G50" s="1" t="s">
        <v>11</v>
      </c>
      <c r="H50" s="1">
        <v>0</v>
      </c>
      <c r="I50" s="1">
        <v>45</v>
      </c>
      <c r="J50" s="13" t="s">
        <v>105</v>
      </c>
      <c r="K50" s="1">
        <v>0.02</v>
      </c>
      <c r="L50" s="1">
        <v>0</v>
      </c>
      <c r="M50" s="1">
        <v>0.01</v>
      </c>
      <c r="N50" s="1">
        <v>0.02</v>
      </c>
      <c r="O50" s="1" t="s">
        <v>11</v>
      </c>
      <c r="P50" s="1">
        <v>61</v>
      </c>
      <c r="T50" s="1">
        <f t="shared" si="1"/>
        <v>0</v>
      </c>
      <c r="U50" s="1">
        <f t="shared" si="2"/>
        <v>0</v>
      </c>
      <c r="V50" s="1">
        <f t="shared" si="3"/>
        <v>0</v>
      </c>
      <c r="W50" s="1">
        <f t="shared" si="4"/>
        <v>1.22</v>
      </c>
      <c r="X50" s="1">
        <f t="shared" si="5"/>
        <v>0</v>
      </c>
      <c r="Y50" s="1">
        <f t="shared" si="6"/>
        <v>0</v>
      </c>
      <c r="Z50" s="1">
        <f t="shared" si="7"/>
        <v>0</v>
      </c>
      <c r="AA50" s="1">
        <f t="shared" si="8"/>
        <v>61</v>
      </c>
    </row>
    <row r="51" spans="2:27" x14ac:dyDescent="0.3">
      <c r="B51" s="12" t="s">
        <v>106</v>
      </c>
      <c r="C51" s="1">
        <v>102.8</v>
      </c>
      <c r="D51" s="1">
        <v>0</v>
      </c>
      <c r="E51" s="1">
        <v>125.43</v>
      </c>
      <c r="F51" s="1">
        <v>126.64</v>
      </c>
      <c r="G51" s="1" t="s">
        <v>11</v>
      </c>
      <c r="H51" s="1">
        <v>0</v>
      </c>
      <c r="I51" s="1">
        <v>50</v>
      </c>
      <c r="J51" s="13" t="s">
        <v>107</v>
      </c>
      <c r="K51" s="1">
        <v>0.01</v>
      </c>
      <c r="L51" s="1">
        <v>0</v>
      </c>
      <c r="M51" s="1" t="s">
        <v>11</v>
      </c>
      <c r="N51" s="1">
        <v>0.02</v>
      </c>
      <c r="O51" s="1" t="s">
        <v>11</v>
      </c>
      <c r="P51" s="1">
        <v>17494</v>
      </c>
      <c r="T51" s="1">
        <f t="shared" si="1"/>
        <v>0</v>
      </c>
      <c r="U51" s="1">
        <f t="shared" si="2"/>
        <v>0</v>
      </c>
      <c r="V51" s="1">
        <f t="shared" si="3"/>
        <v>0</v>
      </c>
      <c r="W51" s="1">
        <f t="shared" si="4"/>
        <v>174.94</v>
      </c>
      <c r="X51" s="1">
        <f t="shared" si="5"/>
        <v>0</v>
      </c>
      <c r="Y51" s="1">
        <f t="shared" si="6"/>
        <v>0</v>
      </c>
      <c r="Z51" s="1">
        <f t="shared" si="7"/>
        <v>0</v>
      </c>
      <c r="AA51" s="1">
        <f t="shared" si="8"/>
        <v>17494</v>
      </c>
    </row>
    <row r="52" spans="2:27" x14ac:dyDescent="0.3">
      <c r="B52" s="12" t="s">
        <v>108</v>
      </c>
      <c r="C52" s="1">
        <v>115.33</v>
      </c>
      <c r="D52" s="1">
        <v>0</v>
      </c>
      <c r="E52" s="1">
        <v>120.44</v>
      </c>
      <c r="F52" s="1">
        <v>121.65</v>
      </c>
      <c r="G52" s="1" t="s">
        <v>11</v>
      </c>
      <c r="H52" s="1">
        <v>1</v>
      </c>
      <c r="I52" s="1">
        <v>55</v>
      </c>
      <c r="J52" s="13" t="s">
        <v>109</v>
      </c>
      <c r="K52" s="1">
        <v>0.02</v>
      </c>
      <c r="L52" s="1">
        <v>0</v>
      </c>
      <c r="M52" s="1">
        <v>0.01</v>
      </c>
      <c r="N52" s="1">
        <v>0.02</v>
      </c>
      <c r="O52" s="1" t="s">
        <v>11</v>
      </c>
      <c r="P52" s="1">
        <v>1249</v>
      </c>
      <c r="T52" s="1">
        <f t="shared" si="1"/>
        <v>0</v>
      </c>
      <c r="U52" s="1">
        <f t="shared" si="2"/>
        <v>0</v>
      </c>
      <c r="V52" s="1">
        <f t="shared" si="3"/>
        <v>115.33</v>
      </c>
      <c r="W52" s="1">
        <f t="shared" si="4"/>
        <v>24.98</v>
      </c>
      <c r="X52" s="1">
        <f t="shared" si="5"/>
        <v>0</v>
      </c>
      <c r="Y52" s="1">
        <f t="shared" si="6"/>
        <v>0</v>
      </c>
      <c r="Z52" s="1">
        <f t="shared" si="7"/>
        <v>1</v>
      </c>
      <c r="AA52" s="1">
        <f t="shared" si="8"/>
        <v>1249</v>
      </c>
    </row>
    <row r="53" spans="2:27" x14ac:dyDescent="0.3">
      <c r="B53" s="12" t="s">
        <v>110</v>
      </c>
      <c r="C53" s="1" t="s">
        <v>11</v>
      </c>
      <c r="D53" s="1" t="s">
        <v>11</v>
      </c>
      <c r="E53" s="1">
        <v>115.44</v>
      </c>
      <c r="F53" s="1">
        <v>116.65</v>
      </c>
      <c r="G53" s="1" t="s">
        <v>11</v>
      </c>
      <c r="H53" s="1">
        <v>0</v>
      </c>
      <c r="I53" s="1">
        <v>60</v>
      </c>
      <c r="J53" s="13" t="s">
        <v>111</v>
      </c>
      <c r="K53" s="1">
        <v>0.02</v>
      </c>
      <c r="L53" s="1">
        <v>0</v>
      </c>
      <c r="M53" s="1" t="s">
        <v>11</v>
      </c>
      <c r="N53" s="1">
        <v>0.02</v>
      </c>
      <c r="O53" s="1" t="s">
        <v>11</v>
      </c>
      <c r="P53" s="1">
        <v>6988</v>
      </c>
      <c r="T53" s="1">
        <f t="shared" si="1"/>
        <v>0</v>
      </c>
      <c r="U53" s="1">
        <f t="shared" si="2"/>
        <v>0</v>
      </c>
      <c r="V53" s="1">
        <f t="shared" si="3"/>
        <v>0</v>
      </c>
      <c r="W53" s="1">
        <f t="shared" si="4"/>
        <v>139.76</v>
      </c>
      <c r="X53" s="1">
        <f t="shared" si="5"/>
        <v>0</v>
      </c>
      <c r="Y53" s="1">
        <f t="shared" si="6"/>
        <v>0</v>
      </c>
      <c r="Z53" s="1">
        <f t="shared" si="7"/>
        <v>0</v>
      </c>
      <c r="AA53" s="1">
        <f t="shared" si="8"/>
        <v>6988</v>
      </c>
    </row>
    <row r="54" spans="2:27" x14ac:dyDescent="0.3">
      <c r="B54" s="12" t="s">
        <v>112</v>
      </c>
      <c r="C54" s="1">
        <v>105.75</v>
      </c>
      <c r="D54" s="1">
        <v>0</v>
      </c>
      <c r="E54" s="1">
        <v>110.44</v>
      </c>
      <c r="F54" s="1">
        <v>111.65</v>
      </c>
      <c r="G54" s="1" t="s">
        <v>11</v>
      </c>
      <c r="H54" s="1">
        <v>10</v>
      </c>
      <c r="I54" s="1">
        <v>65</v>
      </c>
      <c r="J54" s="13" t="s">
        <v>113</v>
      </c>
      <c r="K54" s="1">
        <v>0.02</v>
      </c>
      <c r="L54" s="1">
        <v>0</v>
      </c>
      <c r="M54" s="1" t="s">
        <v>11</v>
      </c>
      <c r="N54" s="1">
        <v>0.02</v>
      </c>
      <c r="O54" s="1" t="s">
        <v>11</v>
      </c>
      <c r="P54" s="1">
        <v>2115</v>
      </c>
      <c r="T54" s="1">
        <f t="shared" si="1"/>
        <v>0</v>
      </c>
      <c r="U54" s="1">
        <f t="shared" si="2"/>
        <v>0</v>
      </c>
      <c r="V54" s="1">
        <f t="shared" si="3"/>
        <v>1057.5</v>
      </c>
      <c r="W54" s="1">
        <f t="shared" si="4"/>
        <v>42.300000000000004</v>
      </c>
      <c r="X54" s="1">
        <f t="shared" si="5"/>
        <v>0</v>
      </c>
      <c r="Y54" s="1">
        <f t="shared" si="6"/>
        <v>0</v>
      </c>
      <c r="Z54" s="1">
        <f t="shared" si="7"/>
        <v>10</v>
      </c>
      <c r="AA54" s="1">
        <f t="shared" si="8"/>
        <v>2115</v>
      </c>
    </row>
    <row r="55" spans="2:27" x14ac:dyDescent="0.3">
      <c r="B55" s="12" t="s">
        <v>114</v>
      </c>
      <c r="C55" s="1">
        <v>89.8</v>
      </c>
      <c r="D55" s="1">
        <v>0</v>
      </c>
      <c r="E55" s="1">
        <v>105.44</v>
      </c>
      <c r="F55" s="1">
        <v>106.65</v>
      </c>
      <c r="G55" s="1" t="s">
        <v>11</v>
      </c>
      <c r="H55" s="1">
        <v>0</v>
      </c>
      <c r="I55" s="1">
        <v>70</v>
      </c>
      <c r="J55" s="13" t="s">
        <v>115</v>
      </c>
      <c r="K55" s="1">
        <v>0.01</v>
      </c>
      <c r="L55" s="1">
        <v>0</v>
      </c>
      <c r="M55" s="1" t="s">
        <v>11</v>
      </c>
      <c r="N55" s="1">
        <v>0.02</v>
      </c>
      <c r="O55" s="1" t="s">
        <v>11</v>
      </c>
      <c r="P55" s="1">
        <v>2439</v>
      </c>
      <c r="T55" s="1">
        <f t="shared" si="1"/>
        <v>0</v>
      </c>
      <c r="U55" s="1">
        <f t="shared" si="2"/>
        <v>0</v>
      </c>
      <c r="V55" s="1">
        <f t="shared" si="3"/>
        <v>0</v>
      </c>
      <c r="W55" s="1">
        <f t="shared" si="4"/>
        <v>24.39</v>
      </c>
      <c r="X55" s="1">
        <f t="shared" si="5"/>
        <v>0</v>
      </c>
      <c r="Y55" s="1">
        <f t="shared" si="6"/>
        <v>0</v>
      </c>
      <c r="Z55" s="1">
        <f t="shared" si="7"/>
        <v>0</v>
      </c>
      <c r="AA55" s="1">
        <f t="shared" si="8"/>
        <v>2439</v>
      </c>
    </row>
    <row r="56" spans="2:27" x14ac:dyDescent="0.3">
      <c r="B56" s="12" t="s">
        <v>116</v>
      </c>
      <c r="C56" s="1">
        <v>97.72</v>
      </c>
      <c r="D56" s="1">
        <v>0</v>
      </c>
      <c r="E56" s="1">
        <v>100.45</v>
      </c>
      <c r="F56" s="1">
        <v>101.66</v>
      </c>
      <c r="G56" s="1" t="s">
        <v>11</v>
      </c>
      <c r="H56" s="1">
        <v>20</v>
      </c>
      <c r="I56" s="1">
        <v>75</v>
      </c>
      <c r="J56" s="13" t="s">
        <v>117</v>
      </c>
      <c r="K56" s="1">
        <v>0.01</v>
      </c>
      <c r="L56" s="1">
        <v>0</v>
      </c>
      <c r="M56" s="1" t="s">
        <v>11</v>
      </c>
      <c r="N56" s="1">
        <v>0.02</v>
      </c>
      <c r="O56" s="1" t="s">
        <v>11</v>
      </c>
      <c r="P56" s="1">
        <v>23248</v>
      </c>
      <c r="T56" s="1">
        <f t="shared" si="1"/>
        <v>0</v>
      </c>
      <c r="U56" s="1">
        <f t="shared" si="2"/>
        <v>0</v>
      </c>
      <c r="V56" s="1">
        <f t="shared" si="3"/>
        <v>1954.4</v>
      </c>
      <c r="W56" s="1">
        <f t="shared" si="4"/>
        <v>232.48000000000002</v>
      </c>
      <c r="X56" s="1">
        <f t="shared" si="5"/>
        <v>0</v>
      </c>
      <c r="Y56" s="1">
        <f t="shared" si="6"/>
        <v>0</v>
      </c>
      <c r="Z56" s="1">
        <f t="shared" si="7"/>
        <v>20</v>
      </c>
      <c r="AA56" s="1">
        <f t="shared" si="8"/>
        <v>23248</v>
      </c>
    </row>
    <row r="57" spans="2:27" x14ac:dyDescent="0.3">
      <c r="B57" s="12" t="s">
        <v>118</v>
      </c>
      <c r="C57" s="1">
        <v>95.16</v>
      </c>
      <c r="D57" s="1">
        <v>0</v>
      </c>
      <c r="E57" s="1">
        <v>95.45</v>
      </c>
      <c r="F57" s="1">
        <v>96.66</v>
      </c>
      <c r="G57" s="1" t="s">
        <v>11</v>
      </c>
      <c r="H57" s="1">
        <v>100</v>
      </c>
      <c r="I57" s="1">
        <v>80</v>
      </c>
      <c r="J57" s="13" t="s">
        <v>119</v>
      </c>
      <c r="K57" s="1">
        <v>0.01</v>
      </c>
      <c r="L57" s="1">
        <v>0</v>
      </c>
      <c r="M57" s="1" t="s">
        <v>11</v>
      </c>
      <c r="N57" s="1">
        <v>0.02</v>
      </c>
      <c r="O57" s="1" t="s">
        <v>11</v>
      </c>
      <c r="P57" s="1">
        <v>6924</v>
      </c>
      <c r="T57" s="1">
        <f t="shared" si="1"/>
        <v>0</v>
      </c>
      <c r="U57" s="1">
        <f t="shared" si="2"/>
        <v>0</v>
      </c>
      <c r="V57" s="1">
        <f t="shared" si="3"/>
        <v>9516</v>
      </c>
      <c r="W57" s="1">
        <f t="shared" si="4"/>
        <v>69.239999999999995</v>
      </c>
      <c r="X57" s="1">
        <f t="shared" si="5"/>
        <v>0</v>
      </c>
      <c r="Y57" s="1">
        <f t="shared" si="6"/>
        <v>0</v>
      </c>
      <c r="Z57" s="1">
        <f t="shared" si="7"/>
        <v>100</v>
      </c>
      <c r="AA57" s="1">
        <f t="shared" si="8"/>
        <v>6924</v>
      </c>
    </row>
    <row r="58" spans="2:27" x14ac:dyDescent="0.3">
      <c r="B58" s="12" t="s">
        <v>120</v>
      </c>
      <c r="C58" s="1">
        <v>85.76</v>
      </c>
      <c r="D58" s="1">
        <v>0</v>
      </c>
      <c r="E58" s="1">
        <v>90.45</v>
      </c>
      <c r="F58" s="1">
        <v>91.66</v>
      </c>
      <c r="G58" s="1" t="s">
        <v>11</v>
      </c>
      <c r="H58" s="1">
        <v>10</v>
      </c>
      <c r="I58" s="1">
        <v>85</v>
      </c>
      <c r="J58" s="13" t="s">
        <v>121</v>
      </c>
      <c r="K58" s="1">
        <v>0.01</v>
      </c>
      <c r="L58" s="1">
        <v>0</v>
      </c>
      <c r="M58" s="1" t="s">
        <v>11</v>
      </c>
      <c r="N58" s="1">
        <v>0.02</v>
      </c>
      <c r="O58" s="1" t="s">
        <v>11</v>
      </c>
      <c r="P58" s="1">
        <v>8601</v>
      </c>
      <c r="T58" s="1">
        <f t="shared" si="1"/>
        <v>0</v>
      </c>
      <c r="U58" s="1">
        <f t="shared" si="2"/>
        <v>0</v>
      </c>
      <c r="V58" s="1">
        <f t="shared" si="3"/>
        <v>857.6</v>
      </c>
      <c r="W58" s="1">
        <f t="shared" si="4"/>
        <v>86.01</v>
      </c>
      <c r="X58" s="1">
        <f t="shared" si="5"/>
        <v>0</v>
      </c>
      <c r="Y58" s="1">
        <f t="shared" si="6"/>
        <v>0</v>
      </c>
      <c r="Z58" s="1">
        <f t="shared" si="7"/>
        <v>10</v>
      </c>
      <c r="AA58" s="1">
        <f t="shared" si="8"/>
        <v>8601</v>
      </c>
    </row>
    <row r="59" spans="2:27" x14ac:dyDescent="0.3">
      <c r="B59" s="12" t="s">
        <v>122</v>
      </c>
      <c r="C59" s="1">
        <v>83.84</v>
      </c>
      <c r="D59" s="1">
        <v>0</v>
      </c>
      <c r="E59" s="1">
        <v>85.45</v>
      </c>
      <c r="F59" s="1">
        <v>86.66</v>
      </c>
      <c r="G59" s="1" t="s">
        <v>11</v>
      </c>
      <c r="H59" s="1">
        <v>21</v>
      </c>
      <c r="I59" s="1">
        <v>90</v>
      </c>
      <c r="J59" s="13" t="s">
        <v>123</v>
      </c>
      <c r="K59" s="1">
        <v>0.01</v>
      </c>
      <c r="L59" s="1">
        <v>0</v>
      </c>
      <c r="M59" s="1" t="s">
        <v>11</v>
      </c>
      <c r="N59" s="1">
        <v>0.01</v>
      </c>
      <c r="O59" s="1" t="s">
        <v>11</v>
      </c>
      <c r="P59" s="1">
        <v>13044</v>
      </c>
      <c r="T59" s="1">
        <f t="shared" si="1"/>
        <v>0</v>
      </c>
      <c r="U59" s="1">
        <f t="shared" si="2"/>
        <v>0</v>
      </c>
      <c r="V59" s="1">
        <f t="shared" si="3"/>
        <v>1760.64</v>
      </c>
      <c r="W59" s="1">
        <f t="shared" si="4"/>
        <v>130.44</v>
      </c>
      <c r="X59" s="1">
        <f t="shared" si="5"/>
        <v>0</v>
      </c>
      <c r="Y59" s="1">
        <f t="shared" si="6"/>
        <v>0</v>
      </c>
      <c r="Z59" s="1">
        <f t="shared" si="7"/>
        <v>21</v>
      </c>
      <c r="AA59" s="1">
        <f t="shared" si="8"/>
        <v>13044</v>
      </c>
    </row>
    <row r="60" spans="2:27" x14ac:dyDescent="0.3">
      <c r="B60" s="12" t="s">
        <v>124</v>
      </c>
      <c r="C60" s="1">
        <v>77.83</v>
      </c>
      <c r="D60" s="1">
        <v>0</v>
      </c>
      <c r="E60" s="1">
        <v>80.45</v>
      </c>
      <c r="F60" s="1">
        <v>81.66</v>
      </c>
      <c r="G60" s="1" t="s">
        <v>11</v>
      </c>
      <c r="H60" s="1">
        <v>24</v>
      </c>
      <c r="I60" s="1">
        <v>95</v>
      </c>
      <c r="J60" s="13" t="s">
        <v>125</v>
      </c>
      <c r="K60" s="1">
        <v>0.02</v>
      </c>
      <c r="L60" s="1">
        <v>0</v>
      </c>
      <c r="M60" s="1" t="s">
        <v>11</v>
      </c>
      <c r="N60" s="1">
        <v>0.02</v>
      </c>
      <c r="O60" s="1" t="s">
        <v>11</v>
      </c>
      <c r="P60" s="1">
        <v>62427</v>
      </c>
      <c r="T60" s="1">
        <f t="shared" si="1"/>
        <v>0</v>
      </c>
      <c r="U60" s="1">
        <f t="shared" si="2"/>
        <v>0</v>
      </c>
      <c r="V60" s="1">
        <f t="shared" si="3"/>
        <v>1867.92</v>
      </c>
      <c r="W60" s="1">
        <f t="shared" si="4"/>
        <v>1248.54</v>
      </c>
      <c r="X60" s="1">
        <f t="shared" si="5"/>
        <v>0</v>
      </c>
      <c r="Y60" s="1">
        <f t="shared" si="6"/>
        <v>0</v>
      </c>
      <c r="Z60" s="1">
        <f t="shared" si="7"/>
        <v>24</v>
      </c>
      <c r="AA60" s="1">
        <f t="shared" si="8"/>
        <v>62427</v>
      </c>
    </row>
    <row r="61" spans="2:27" x14ac:dyDescent="0.3">
      <c r="B61" s="12" t="s">
        <v>126</v>
      </c>
      <c r="C61" s="1">
        <v>77.36</v>
      </c>
      <c r="D61" s="1">
        <v>0</v>
      </c>
      <c r="E61" s="1">
        <v>75.459999999999994</v>
      </c>
      <c r="F61" s="1">
        <v>76.67</v>
      </c>
      <c r="G61" s="1" t="s">
        <v>11</v>
      </c>
      <c r="H61" s="1">
        <v>56</v>
      </c>
      <c r="I61" s="1">
        <v>100</v>
      </c>
      <c r="J61" s="13" t="s">
        <v>127</v>
      </c>
      <c r="K61" s="1">
        <v>0.02</v>
      </c>
      <c r="L61" s="1">
        <v>0</v>
      </c>
      <c r="M61" s="1" t="s">
        <v>11</v>
      </c>
      <c r="N61" s="1">
        <v>0.02</v>
      </c>
      <c r="O61" s="1" t="s">
        <v>11</v>
      </c>
      <c r="P61" s="1">
        <v>34025</v>
      </c>
      <c r="T61" s="1">
        <f t="shared" si="1"/>
        <v>0</v>
      </c>
      <c r="U61" s="1">
        <f t="shared" si="2"/>
        <v>0</v>
      </c>
      <c r="V61" s="1">
        <f t="shared" si="3"/>
        <v>4332.16</v>
      </c>
      <c r="W61" s="1">
        <f t="shared" si="4"/>
        <v>680.5</v>
      </c>
      <c r="X61" s="1">
        <f t="shared" si="5"/>
        <v>0</v>
      </c>
      <c r="Y61" s="1">
        <f t="shared" si="6"/>
        <v>0</v>
      </c>
      <c r="Z61" s="1">
        <f t="shared" si="7"/>
        <v>56</v>
      </c>
      <c r="AA61" s="1">
        <f t="shared" si="8"/>
        <v>34025</v>
      </c>
    </row>
    <row r="62" spans="2:27" x14ac:dyDescent="0.3">
      <c r="B62" s="12" t="s">
        <v>128</v>
      </c>
      <c r="C62" s="1">
        <v>59.4</v>
      </c>
      <c r="D62" s="1">
        <v>0</v>
      </c>
      <c r="E62" s="1">
        <v>70.459999999999994</v>
      </c>
      <c r="F62" s="1">
        <v>71.67</v>
      </c>
      <c r="G62" s="1" t="s">
        <v>11</v>
      </c>
      <c r="H62" s="1">
        <v>0</v>
      </c>
      <c r="I62" s="1">
        <v>105</v>
      </c>
      <c r="J62" s="13" t="s">
        <v>129</v>
      </c>
      <c r="K62" s="1">
        <v>0.03</v>
      </c>
      <c r="L62" s="1">
        <v>0</v>
      </c>
      <c r="M62" s="1">
        <v>0.01</v>
      </c>
      <c r="N62" s="1">
        <v>0.03</v>
      </c>
      <c r="O62" s="1" t="s">
        <v>11</v>
      </c>
      <c r="P62" s="1">
        <v>34613</v>
      </c>
      <c r="T62" s="1">
        <f t="shared" si="1"/>
        <v>0</v>
      </c>
      <c r="U62" s="1">
        <f t="shared" si="2"/>
        <v>0</v>
      </c>
      <c r="V62" s="1">
        <f t="shared" si="3"/>
        <v>0</v>
      </c>
      <c r="W62" s="1">
        <f t="shared" si="4"/>
        <v>1038.3899999999999</v>
      </c>
      <c r="X62" s="1">
        <f t="shared" si="5"/>
        <v>0</v>
      </c>
      <c r="Y62" s="1">
        <f t="shared" si="6"/>
        <v>0</v>
      </c>
      <c r="Z62" s="1">
        <f t="shared" si="7"/>
        <v>0</v>
      </c>
      <c r="AA62" s="1">
        <f t="shared" si="8"/>
        <v>34613</v>
      </c>
    </row>
    <row r="63" spans="2:27" x14ac:dyDescent="0.3">
      <c r="B63" s="12" t="s">
        <v>130</v>
      </c>
      <c r="C63" s="1">
        <v>66.400000000000006</v>
      </c>
      <c r="D63" s="1">
        <v>0</v>
      </c>
      <c r="E63" s="1">
        <v>65.47</v>
      </c>
      <c r="F63" s="1">
        <v>66.680000000000007</v>
      </c>
      <c r="G63" s="1" t="s">
        <v>11</v>
      </c>
      <c r="H63" s="1">
        <v>26</v>
      </c>
      <c r="I63" s="1">
        <v>110</v>
      </c>
      <c r="J63" s="13" t="s">
        <v>131</v>
      </c>
      <c r="K63" s="1">
        <v>0.03</v>
      </c>
      <c r="L63" s="1">
        <v>0</v>
      </c>
      <c r="M63" s="1">
        <v>0.01</v>
      </c>
      <c r="N63" s="1">
        <v>0.04</v>
      </c>
      <c r="O63" s="1" t="s">
        <v>11</v>
      </c>
      <c r="P63" s="1">
        <v>22578</v>
      </c>
      <c r="T63" s="1">
        <f t="shared" si="1"/>
        <v>0</v>
      </c>
      <c r="U63" s="1">
        <f t="shared" si="2"/>
        <v>0</v>
      </c>
      <c r="V63" s="1">
        <f t="shared" si="3"/>
        <v>1726.4</v>
      </c>
      <c r="W63" s="1">
        <f t="shared" si="4"/>
        <v>677.33999999999992</v>
      </c>
      <c r="X63" s="1">
        <f t="shared" si="5"/>
        <v>0</v>
      </c>
      <c r="Y63" s="1">
        <f t="shared" si="6"/>
        <v>0</v>
      </c>
      <c r="Z63" s="1">
        <f t="shared" si="7"/>
        <v>26</v>
      </c>
      <c r="AA63" s="1">
        <f t="shared" si="8"/>
        <v>22578</v>
      </c>
    </row>
    <row r="64" spans="2:27" x14ac:dyDescent="0.3">
      <c r="B64" s="12" t="s">
        <v>132</v>
      </c>
      <c r="C64" s="1">
        <v>39.5</v>
      </c>
      <c r="D64" s="1">
        <v>0</v>
      </c>
      <c r="E64" s="1">
        <v>64.47</v>
      </c>
      <c r="F64" s="1">
        <v>65.680000000000007</v>
      </c>
      <c r="G64" s="1" t="s">
        <v>11</v>
      </c>
      <c r="H64" s="1">
        <v>0</v>
      </c>
      <c r="I64" s="1">
        <v>111</v>
      </c>
      <c r="J64" s="13" t="s">
        <v>133</v>
      </c>
      <c r="K64" s="1">
        <v>7.0000000000000007E-2</v>
      </c>
      <c r="L64" s="1">
        <v>0</v>
      </c>
      <c r="M64" s="1">
        <v>0.01</v>
      </c>
      <c r="N64" s="1">
        <v>0.04</v>
      </c>
      <c r="O64" s="1" t="s">
        <v>11</v>
      </c>
      <c r="P64" s="1">
        <v>7822</v>
      </c>
      <c r="T64" s="1">
        <f t="shared" si="1"/>
        <v>0</v>
      </c>
      <c r="U64" s="1">
        <f t="shared" si="2"/>
        <v>0</v>
      </c>
      <c r="V64" s="1">
        <f t="shared" si="3"/>
        <v>0</v>
      </c>
      <c r="W64" s="1">
        <f t="shared" si="4"/>
        <v>547.54000000000008</v>
      </c>
      <c r="X64" s="1">
        <f t="shared" si="5"/>
        <v>0</v>
      </c>
      <c r="Y64" s="1">
        <f t="shared" si="6"/>
        <v>0</v>
      </c>
      <c r="Z64" s="1">
        <f t="shared" si="7"/>
        <v>0</v>
      </c>
      <c r="AA64" s="1">
        <f t="shared" si="8"/>
        <v>7822</v>
      </c>
    </row>
    <row r="65" spans="2:27" x14ac:dyDescent="0.3">
      <c r="B65" s="12" t="s">
        <v>134</v>
      </c>
      <c r="C65" s="1">
        <v>31.04</v>
      </c>
      <c r="D65" s="1">
        <v>0</v>
      </c>
      <c r="E65" s="1">
        <v>63.47</v>
      </c>
      <c r="F65" s="1">
        <v>64.680000000000007</v>
      </c>
      <c r="G65" s="1" t="s">
        <v>11</v>
      </c>
      <c r="H65" s="1">
        <v>0</v>
      </c>
      <c r="I65" s="1">
        <v>112</v>
      </c>
      <c r="J65" s="13" t="s">
        <v>135</v>
      </c>
      <c r="K65" s="1">
        <v>0.04</v>
      </c>
      <c r="L65" s="1">
        <v>0</v>
      </c>
      <c r="M65" s="1">
        <v>0.01</v>
      </c>
      <c r="N65" s="1">
        <v>0.04</v>
      </c>
      <c r="O65" s="1" t="s">
        <v>11</v>
      </c>
      <c r="P65" s="1">
        <v>7113</v>
      </c>
      <c r="T65" s="1">
        <f t="shared" si="1"/>
        <v>0</v>
      </c>
      <c r="U65" s="1">
        <f t="shared" si="2"/>
        <v>0</v>
      </c>
      <c r="V65" s="1">
        <f t="shared" si="3"/>
        <v>0</v>
      </c>
      <c r="W65" s="1">
        <f t="shared" si="4"/>
        <v>284.52</v>
      </c>
      <c r="X65" s="1">
        <f t="shared" si="5"/>
        <v>0</v>
      </c>
      <c r="Y65" s="1">
        <f t="shared" si="6"/>
        <v>0</v>
      </c>
      <c r="Z65" s="1">
        <f t="shared" si="7"/>
        <v>0</v>
      </c>
      <c r="AA65" s="1">
        <f t="shared" si="8"/>
        <v>7113</v>
      </c>
    </row>
    <row r="66" spans="2:27" x14ac:dyDescent="0.3">
      <c r="B66" s="12" t="s">
        <v>136</v>
      </c>
      <c r="C66" s="1">
        <v>56.46</v>
      </c>
      <c r="D66" s="1">
        <v>0</v>
      </c>
      <c r="E66" s="1">
        <v>62.47</v>
      </c>
      <c r="F66" s="1">
        <v>63.68</v>
      </c>
      <c r="G66" s="1" t="s">
        <v>11</v>
      </c>
      <c r="H66" s="1">
        <v>0</v>
      </c>
      <c r="I66" s="1">
        <v>113</v>
      </c>
      <c r="J66" s="13" t="s">
        <v>137</v>
      </c>
      <c r="K66" s="1">
        <v>0.05</v>
      </c>
      <c r="L66" s="1">
        <v>0</v>
      </c>
      <c r="M66" s="1">
        <v>0.01</v>
      </c>
      <c r="N66" s="1">
        <v>0.04</v>
      </c>
      <c r="O66" s="1" t="s">
        <v>11</v>
      </c>
      <c r="P66" s="1">
        <v>7321</v>
      </c>
      <c r="T66" s="1">
        <f t="shared" si="1"/>
        <v>0</v>
      </c>
      <c r="U66" s="1">
        <f t="shared" si="2"/>
        <v>0</v>
      </c>
      <c r="V66" s="1">
        <f t="shared" si="3"/>
        <v>0</v>
      </c>
      <c r="W66" s="1">
        <f t="shared" si="4"/>
        <v>366.05</v>
      </c>
      <c r="X66" s="1">
        <f t="shared" si="5"/>
        <v>0</v>
      </c>
      <c r="Y66" s="1">
        <f t="shared" si="6"/>
        <v>0</v>
      </c>
      <c r="Z66" s="1">
        <f t="shared" si="7"/>
        <v>0</v>
      </c>
      <c r="AA66" s="1">
        <f t="shared" si="8"/>
        <v>7321</v>
      </c>
    </row>
    <row r="67" spans="2:27" x14ac:dyDescent="0.3">
      <c r="B67" s="12" t="s">
        <v>138</v>
      </c>
      <c r="C67" s="1" t="s">
        <v>11</v>
      </c>
      <c r="D67" s="1" t="s">
        <v>11</v>
      </c>
      <c r="E67" s="1">
        <v>61.48</v>
      </c>
      <c r="F67" s="1">
        <v>62.69</v>
      </c>
      <c r="G67" s="1" t="s">
        <v>11</v>
      </c>
      <c r="H67" s="1">
        <v>0</v>
      </c>
      <c r="I67" s="1">
        <v>114</v>
      </c>
      <c r="J67" s="13" t="s">
        <v>139</v>
      </c>
      <c r="K67" s="1">
        <v>0.04</v>
      </c>
      <c r="L67" s="1">
        <v>0</v>
      </c>
      <c r="M67" s="1">
        <v>0.01</v>
      </c>
      <c r="N67" s="1">
        <v>0.04</v>
      </c>
      <c r="O67" s="1" t="s">
        <v>11</v>
      </c>
      <c r="P67" s="1">
        <v>19378</v>
      </c>
      <c r="T67" s="1">
        <f t="shared" si="1"/>
        <v>0</v>
      </c>
      <c r="U67" s="1">
        <f t="shared" si="2"/>
        <v>0</v>
      </c>
      <c r="V67" s="1">
        <f t="shared" si="3"/>
        <v>0</v>
      </c>
      <c r="W67" s="1">
        <f t="shared" si="4"/>
        <v>775.12</v>
      </c>
      <c r="X67" s="1">
        <f t="shared" si="5"/>
        <v>0</v>
      </c>
      <c r="Y67" s="1">
        <f t="shared" si="6"/>
        <v>0</v>
      </c>
      <c r="Z67" s="1">
        <f t="shared" si="7"/>
        <v>0</v>
      </c>
      <c r="AA67" s="1">
        <f t="shared" si="8"/>
        <v>19378</v>
      </c>
    </row>
    <row r="68" spans="2:27" x14ac:dyDescent="0.3">
      <c r="B68" s="12" t="s">
        <v>140</v>
      </c>
      <c r="C68" s="1">
        <v>56.21</v>
      </c>
      <c r="D68" s="1">
        <v>0</v>
      </c>
      <c r="E68" s="1">
        <v>60.48</v>
      </c>
      <c r="F68" s="1">
        <v>61.69</v>
      </c>
      <c r="G68" s="1" t="s">
        <v>11</v>
      </c>
      <c r="H68" s="1">
        <v>11</v>
      </c>
      <c r="I68" s="1">
        <v>115</v>
      </c>
      <c r="J68" s="13" t="s">
        <v>141</v>
      </c>
      <c r="K68" s="1">
        <v>0.03</v>
      </c>
      <c r="L68" s="1">
        <v>0</v>
      </c>
      <c r="M68" s="1">
        <v>0.02</v>
      </c>
      <c r="N68" s="1">
        <v>0.04</v>
      </c>
      <c r="O68" s="1">
        <v>106</v>
      </c>
      <c r="P68" s="1">
        <v>30373</v>
      </c>
      <c r="T68" s="1">
        <f t="shared" si="1"/>
        <v>0</v>
      </c>
      <c r="U68" s="1">
        <f t="shared" si="2"/>
        <v>4.24</v>
      </c>
      <c r="V68" s="1">
        <f t="shared" si="3"/>
        <v>618.31000000000006</v>
      </c>
      <c r="W68" s="1">
        <f t="shared" si="4"/>
        <v>911.18999999999994</v>
      </c>
      <c r="X68" s="1">
        <f t="shared" si="5"/>
        <v>0</v>
      </c>
      <c r="Y68" s="1">
        <f t="shared" si="6"/>
        <v>106</v>
      </c>
      <c r="Z68" s="1">
        <f t="shared" si="7"/>
        <v>11</v>
      </c>
      <c r="AA68" s="1">
        <f t="shared" si="8"/>
        <v>30373</v>
      </c>
    </row>
    <row r="69" spans="2:27" x14ac:dyDescent="0.3">
      <c r="B69" s="12" t="s">
        <v>142</v>
      </c>
      <c r="C69" s="1">
        <v>38.71</v>
      </c>
      <c r="D69" s="1">
        <v>0</v>
      </c>
      <c r="E69" s="1">
        <v>59.48</v>
      </c>
      <c r="F69" s="1">
        <v>60.69</v>
      </c>
      <c r="G69" s="1" t="s">
        <v>11</v>
      </c>
      <c r="H69" s="1">
        <v>0</v>
      </c>
      <c r="I69" s="1">
        <v>116</v>
      </c>
      <c r="J69" s="13" t="s">
        <v>143</v>
      </c>
      <c r="K69" s="1">
        <v>0.05</v>
      </c>
      <c r="L69" s="1">
        <v>0</v>
      </c>
      <c r="M69" s="1">
        <v>0.02</v>
      </c>
      <c r="N69" s="1">
        <v>0.04</v>
      </c>
      <c r="O69" s="1" t="s">
        <v>11</v>
      </c>
      <c r="P69" s="1">
        <v>7149</v>
      </c>
      <c r="T69" s="1">
        <f t="shared" si="1"/>
        <v>0</v>
      </c>
      <c r="U69" s="1">
        <f t="shared" si="2"/>
        <v>0</v>
      </c>
      <c r="V69" s="1">
        <f t="shared" si="3"/>
        <v>0</v>
      </c>
      <c r="W69" s="1">
        <f t="shared" si="4"/>
        <v>357.45000000000005</v>
      </c>
      <c r="X69" s="1">
        <f t="shared" si="5"/>
        <v>0</v>
      </c>
      <c r="Y69" s="1">
        <f t="shared" si="6"/>
        <v>0</v>
      </c>
      <c r="Z69" s="1">
        <f t="shared" si="7"/>
        <v>0</v>
      </c>
      <c r="AA69" s="1">
        <f t="shared" si="8"/>
        <v>7149</v>
      </c>
    </row>
    <row r="70" spans="2:27" x14ac:dyDescent="0.3">
      <c r="B70" s="12" t="s">
        <v>144</v>
      </c>
      <c r="C70" s="1">
        <v>26.93</v>
      </c>
      <c r="D70" s="1">
        <v>0</v>
      </c>
      <c r="E70" s="1">
        <v>58.48</v>
      </c>
      <c r="F70" s="1">
        <v>59.69</v>
      </c>
      <c r="G70" s="1" t="s">
        <v>11</v>
      </c>
      <c r="H70" s="1">
        <v>0</v>
      </c>
      <c r="I70" s="1">
        <v>117</v>
      </c>
      <c r="J70" s="13" t="s">
        <v>145</v>
      </c>
      <c r="K70" s="1">
        <v>0.22</v>
      </c>
      <c r="L70" s="1">
        <v>0</v>
      </c>
      <c r="M70" s="1">
        <v>0.02</v>
      </c>
      <c r="N70" s="1">
        <v>0.04</v>
      </c>
      <c r="O70" s="1" t="s">
        <v>11</v>
      </c>
      <c r="P70" s="1">
        <v>8031</v>
      </c>
      <c r="T70" s="1">
        <f t="shared" si="1"/>
        <v>0</v>
      </c>
      <c r="U70" s="1">
        <f t="shared" si="2"/>
        <v>0</v>
      </c>
      <c r="V70" s="1">
        <f t="shared" si="3"/>
        <v>0</v>
      </c>
      <c r="W70" s="1">
        <f t="shared" si="4"/>
        <v>1766.82</v>
      </c>
      <c r="X70" s="1">
        <f t="shared" si="5"/>
        <v>0</v>
      </c>
      <c r="Y70" s="1">
        <f t="shared" si="6"/>
        <v>0</v>
      </c>
      <c r="Z70" s="1">
        <f t="shared" si="7"/>
        <v>0</v>
      </c>
      <c r="AA70" s="1">
        <f t="shared" si="8"/>
        <v>8031</v>
      </c>
    </row>
    <row r="71" spans="2:27" x14ac:dyDescent="0.3">
      <c r="B71" s="12" t="s">
        <v>146</v>
      </c>
      <c r="C71" s="1">
        <v>32.9</v>
      </c>
      <c r="D71" s="1">
        <v>0</v>
      </c>
      <c r="E71" s="1">
        <v>57.49</v>
      </c>
      <c r="F71" s="1">
        <v>58.7</v>
      </c>
      <c r="G71" s="1" t="s">
        <v>11</v>
      </c>
      <c r="H71" s="1">
        <v>0</v>
      </c>
      <c r="I71" s="1">
        <v>118</v>
      </c>
      <c r="J71" s="13" t="s">
        <v>147</v>
      </c>
      <c r="K71" s="1">
        <v>0.05</v>
      </c>
      <c r="L71" s="1">
        <v>0</v>
      </c>
      <c r="M71" s="1">
        <v>0.02</v>
      </c>
      <c r="N71" s="1">
        <v>0.04</v>
      </c>
      <c r="O71" s="1" t="s">
        <v>11</v>
      </c>
      <c r="P71" s="1">
        <v>10473</v>
      </c>
      <c r="T71" s="1">
        <f t="shared" ref="T71:T134" si="9">IF(AND(G71="-"),0,G71*F71)</f>
        <v>0</v>
      </c>
      <c r="U71" s="1">
        <f t="shared" ref="U71:U134" si="10">IF(AND(O71="-"),0,O71*N71)</f>
        <v>0</v>
      </c>
      <c r="V71" s="1">
        <f t="shared" ref="V71:V134" si="11">IFERROR(C71*H71,0)</f>
        <v>0</v>
      </c>
      <c r="W71" s="1">
        <f t="shared" ref="W71:W134" si="12">IFERROR(K71*P71,0)</f>
        <v>523.65</v>
      </c>
      <c r="X71" s="1">
        <f t="shared" ref="X71:X134" si="13">IFERROR(G71*1,0)</f>
        <v>0</v>
      </c>
      <c r="Y71" s="1">
        <f t="shared" ref="Y71:Y134" si="14">IFERROR(O71*1,0)</f>
        <v>0</v>
      </c>
      <c r="Z71" s="1">
        <f t="shared" ref="Z71:Z134" si="15">IFERROR(H71*1,0)</f>
        <v>0</v>
      </c>
      <c r="AA71" s="1">
        <f t="shared" ref="AA71:AA134" si="16">IFERROR(P71*1,0)</f>
        <v>10473</v>
      </c>
    </row>
    <row r="72" spans="2:27" x14ac:dyDescent="0.3">
      <c r="B72" s="12" t="s">
        <v>148</v>
      </c>
      <c r="C72" s="1">
        <v>50.63</v>
      </c>
      <c r="D72" s="1">
        <v>0</v>
      </c>
      <c r="E72" s="1">
        <v>56.49</v>
      </c>
      <c r="F72" s="1">
        <v>57.7</v>
      </c>
      <c r="G72" s="1" t="s">
        <v>11</v>
      </c>
      <c r="H72" s="1">
        <v>0</v>
      </c>
      <c r="I72" s="1">
        <v>119</v>
      </c>
      <c r="J72" s="13" t="s">
        <v>149</v>
      </c>
      <c r="K72" s="1">
        <v>0.05</v>
      </c>
      <c r="L72" s="1">
        <v>0</v>
      </c>
      <c r="M72" s="1">
        <v>0.04</v>
      </c>
      <c r="N72" s="1">
        <v>0.05</v>
      </c>
      <c r="O72" s="1" t="s">
        <v>11</v>
      </c>
      <c r="P72" s="1">
        <v>7264</v>
      </c>
      <c r="T72" s="1">
        <f t="shared" si="9"/>
        <v>0</v>
      </c>
      <c r="U72" s="1">
        <f t="shared" si="10"/>
        <v>0</v>
      </c>
      <c r="V72" s="1">
        <f t="shared" si="11"/>
        <v>0</v>
      </c>
      <c r="W72" s="1">
        <f t="shared" si="12"/>
        <v>363.20000000000005</v>
      </c>
      <c r="X72" s="1">
        <f t="shared" si="13"/>
        <v>0</v>
      </c>
      <c r="Y72" s="1">
        <f t="shared" si="14"/>
        <v>0</v>
      </c>
      <c r="Z72" s="1">
        <f t="shared" si="15"/>
        <v>0</v>
      </c>
      <c r="AA72" s="1">
        <f t="shared" si="16"/>
        <v>7264</v>
      </c>
    </row>
    <row r="73" spans="2:27" x14ac:dyDescent="0.3">
      <c r="B73" s="12" t="s">
        <v>150</v>
      </c>
      <c r="C73" s="1">
        <v>50.06</v>
      </c>
      <c r="D73" s="1">
        <v>0</v>
      </c>
      <c r="E73" s="1">
        <v>55.49</v>
      </c>
      <c r="F73" s="1">
        <v>56.7</v>
      </c>
      <c r="G73" s="1" t="s">
        <v>11</v>
      </c>
      <c r="H73" s="1">
        <v>87</v>
      </c>
      <c r="I73" s="1">
        <v>120</v>
      </c>
      <c r="J73" s="13" t="s">
        <v>151</v>
      </c>
      <c r="K73" s="1">
        <v>0.05</v>
      </c>
      <c r="L73" s="1">
        <v>0</v>
      </c>
      <c r="M73" s="1">
        <v>0.02</v>
      </c>
      <c r="N73" s="1">
        <v>0.05</v>
      </c>
      <c r="O73" s="1" t="s">
        <v>11</v>
      </c>
      <c r="P73" s="1">
        <v>22050</v>
      </c>
      <c r="T73" s="1">
        <f t="shared" si="9"/>
        <v>0</v>
      </c>
      <c r="U73" s="1">
        <f t="shared" si="10"/>
        <v>0</v>
      </c>
      <c r="V73" s="1">
        <f t="shared" si="11"/>
        <v>4355.22</v>
      </c>
      <c r="W73" s="1">
        <f t="shared" si="12"/>
        <v>1102.5</v>
      </c>
      <c r="X73" s="1">
        <f t="shared" si="13"/>
        <v>0</v>
      </c>
      <c r="Y73" s="1">
        <f t="shared" si="14"/>
        <v>0</v>
      </c>
      <c r="Z73" s="1">
        <f t="shared" si="15"/>
        <v>87</v>
      </c>
      <c r="AA73" s="1">
        <f t="shared" si="16"/>
        <v>22050</v>
      </c>
    </row>
    <row r="74" spans="2:27" x14ac:dyDescent="0.3">
      <c r="B74" s="12" t="s">
        <v>152</v>
      </c>
      <c r="C74" s="1">
        <v>51.81</v>
      </c>
      <c r="D74" s="1">
        <v>0</v>
      </c>
      <c r="E74" s="1">
        <v>54.5</v>
      </c>
      <c r="F74" s="1">
        <v>55.71</v>
      </c>
      <c r="G74" s="1" t="s">
        <v>11</v>
      </c>
      <c r="H74" s="1">
        <v>2</v>
      </c>
      <c r="I74" s="1">
        <v>121</v>
      </c>
      <c r="J74" s="13" t="s">
        <v>153</v>
      </c>
      <c r="K74" s="1">
        <v>0.08</v>
      </c>
      <c r="L74" s="1">
        <v>0</v>
      </c>
      <c r="M74" s="1">
        <v>0.03</v>
      </c>
      <c r="N74" s="1">
        <v>0.06</v>
      </c>
      <c r="O74" s="1" t="s">
        <v>11</v>
      </c>
      <c r="P74" s="1">
        <v>16452</v>
      </c>
      <c r="T74" s="1">
        <f t="shared" si="9"/>
        <v>0</v>
      </c>
      <c r="U74" s="1">
        <f t="shared" si="10"/>
        <v>0</v>
      </c>
      <c r="V74" s="1">
        <f t="shared" si="11"/>
        <v>103.62</v>
      </c>
      <c r="W74" s="1">
        <f t="shared" si="12"/>
        <v>1316.16</v>
      </c>
      <c r="X74" s="1">
        <f t="shared" si="13"/>
        <v>0</v>
      </c>
      <c r="Y74" s="1">
        <f t="shared" si="14"/>
        <v>0</v>
      </c>
      <c r="Z74" s="1">
        <f t="shared" si="15"/>
        <v>2</v>
      </c>
      <c r="AA74" s="1">
        <f t="shared" si="16"/>
        <v>16452</v>
      </c>
    </row>
    <row r="75" spans="2:27" x14ac:dyDescent="0.3">
      <c r="B75" s="12" t="s">
        <v>154</v>
      </c>
      <c r="C75" s="1">
        <v>46.31</v>
      </c>
      <c r="D75" s="1">
        <v>0</v>
      </c>
      <c r="E75" s="1">
        <v>53.5</v>
      </c>
      <c r="F75" s="1">
        <v>54.71</v>
      </c>
      <c r="G75" s="1" t="s">
        <v>11</v>
      </c>
      <c r="H75" s="1">
        <v>4</v>
      </c>
      <c r="I75" s="1">
        <v>122</v>
      </c>
      <c r="J75" s="13" t="s">
        <v>155</v>
      </c>
      <c r="K75" s="1">
        <v>0.09</v>
      </c>
      <c r="L75" s="1">
        <v>0</v>
      </c>
      <c r="M75" s="1">
        <v>0.04</v>
      </c>
      <c r="N75" s="1">
        <v>0.06</v>
      </c>
      <c r="O75" s="1" t="s">
        <v>11</v>
      </c>
      <c r="P75" s="1">
        <v>8399</v>
      </c>
      <c r="T75" s="1">
        <f t="shared" si="9"/>
        <v>0</v>
      </c>
      <c r="U75" s="1">
        <f t="shared" si="10"/>
        <v>0</v>
      </c>
      <c r="V75" s="1">
        <f t="shared" si="11"/>
        <v>185.24</v>
      </c>
      <c r="W75" s="1">
        <f t="shared" si="12"/>
        <v>755.91</v>
      </c>
      <c r="X75" s="1">
        <f t="shared" si="13"/>
        <v>0</v>
      </c>
      <c r="Y75" s="1">
        <f t="shared" si="14"/>
        <v>0</v>
      </c>
      <c r="Z75" s="1">
        <f t="shared" si="15"/>
        <v>4</v>
      </c>
      <c r="AA75" s="1">
        <f t="shared" si="16"/>
        <v>8399</v>
      </c>
    </row>
    <row r="76" spans="2:27" x14ac:dyDescent="0.3">
      <c r="B76" s="12" t="s">
        <v>156</v>
      </c>
      <c r="C76" s="1">
        <v>47.91</v>
      </c>
      <c r="D76" s="1">
        <v>0</v>
      </c>
      <c r="E76" s="1">
        <v>52.5</v>
      </c>
      <c r="F76" s="1">
        <v>53.71</v>
      </c>
      <c r="G76" s="1" t="s">
        <v>11</v>
      </c>
      <c r="H76" s="1">
        <v>21</v>
      </c>
      <c r="I76" s="1">
        <v>123</v>
      </c>
      <c r="J76" s="13" t="s">
        <v>157</v>
      </c>
      <c r="K76" s="1">
        <v>0.06</v>
      </c>
      <c r="L76" s="1">
        <v>0</v>
      </c>
      <c r="M76" s="1">
        <v>0.04</v>
      </c>
      <c r="N76" s="1">
        <v>7.0000000000000007E-2</v>
      </c>
      <c r="O76" s="1" t="s">
        <v>11</v>
      </c>
      <c r="P76" s="1">
        <v>9566</v>
      </c>
      <c r="T76" s="1">
        <f t="shared" si="9"/>
        <v>0</v>
      </c>
      <c r="U76" s="1">
        <f t="shared" si="10"/>
        <v>0</v>
      </c>
      <c r="V76" s="1">
        <f t="shared" si="11"/>
        <v>1006.1099999999999</v>
      </c>
      <c r="W76" s="1">
        <f t="shared" si="12"/>
        <v>573.95999999999992</v>
      </c>
      <c r="X76" s="1">
        <f t="shared" si="13"/>
        <v>0</v>
      </c>
      <c r="Y76" s="1">
        <f t="shared" si="14"/>
        <v>0</v>
      </c>
      <c r="Z76" s="1">
        <f t="shared" si="15"/>
        <v>21</v>
      </c>
      <c r="AA76" s="1">
        <f t="shared" si="16"/>
        <v>9566</v>
      </c>
    </row>
    <row r="77" spans="2:27" x14ac:dyDescent="0.3">
      <c r="B77" s="12" t="s">
        <v>158</v>
      </c>
      <c r="C77" s="1">
        <v>44.1</v>
      </c>
      <c r="D77" s="1">
        <v>0</v>
      </c>
      <c r="E77" s="1">
        <v>51.51</v>
      </c>
      <c r="F77" s="1">
        <v>52.72</v>
      </c>
      <c r="G77" s="1" t="s">
        <v>11</v>
      </c>
      <c r="H77" s="1">
        <v>10</v>
      </c>
      <c r="I77" s="1">
        <v>124</v>
      </c>
      <c r="J77" s="13" t="s">
        <v>159</v>
      </c>
      <c r="K77" s="1">
        <v>7.0000000000000007E-2</v>
      </c>
      <c r="L77" s="1">
        <v>0</v>
      </c>
      <c r="M77" s="1">
        <v>0.04</v>
      </c>
      <c r="N77" s="1">
        <v>7.0000000000000007E-2</v>
      </c>
      <c r="O77" s="1" t="s">
        <v>11</v>
      </c>
      <c r="P77" s="1">
        <v>10930</v>
      </c>
      <c r="T77" s="1">
        <f t="shared" si="9"/>
        <v>0</v>
      </c>
      <c r="U77" s="1">
        <f t="shared" si="10"/>
        <v>0</v>
      </c>
      <c r="V77" s="1">
        <f t="shared" si="11"/>
        <v>441</v>
      </c>
      <c r="W77" s="1">
        <f t="shared" si="12"/>
        <v>765.1</v>
      </c>
      <c r="X77" s="1">
        <f t="shared" si="13"/>
        <v>0</v>
      </c>
      <c r="Y77" s="1">
        <f t="shared" si="14"/>
        <v>0</v>
      </c>
      <c r="Z77" s="1">
        <f t="shared" si="15"/>
        <v>10</v>
      </c>
      <c r="AA77" s="1">
        <f t="shared" si="16"/>
        <v>10930</v>
      </c>
    </row>
    <row r="78" spans="2:27" x14ac:dyDescent="0.3">
      <c r="B78" s="12" t="s">
        <v>160</v>
      </c>
      <c r="C78" s="1">
        <v>46.6</v>
      </c>
      <c r="D78" s="1">
        <v>0</v>
      </c>
      <c r="E78" s="1">
        <v>50.51</v>
      </c>
      <c r="F78" s="1">
        <v>51.72</v>
      </c>
      <c r="G78" s="1" t="s">
        <v>11</v>
      </c>
      <c r="H78" s="1">
        <v>277</v>
      </c>
      <c r="I78" s="1">
        <v>125</v>
      </c>
      <c r="J78" s="13" t="s">
        <v>161</v>
      </c>
      <c r="K78" s="1">
        <v>7.0000000000000007E-2</v>
      </c>
      <c r="L78" s="1">
        <v>0</v>
      </c>
      <c r="M78" s="1">
        <v>0.05</v>
      </c>
      <c r="N78" s="1">
        <v>0.08</v>
      </c>
      <c r="O78" s="1" t="s">
        <v>11</v>
      </c>
      <c r="P78" s="1">
        <v>21278</v>
      </c>
      <c r="T78" s="1">
        <f t="shared" si="9"/>
        <v>0</v>
      </c>
      <c r="U78" s="1">
        <f t="shared" si="10"/>
        <v>0</v>
      </c>
      <c r="V78" s="1">
        <f t="shared" si="11"/>
        <v>12908.2</v>
      </c>
      <c r="W78" s="1">
        <f t="shared" si="12"/>
        <v>1489.46</v>
      </c>
      <c r="X78" s="1">
        <f t="shared" si="13"/>
        <v>0</v>
      </c>
      <c r="Y78" s="1">
        <f t="shared" si="14"/>
        <v>0</v>
      </c>
      <c r="Z78" s="1">
        <f t="shared" si="15"/>
        <v>277</v>
      </c>
      <c r="AA78" s="1">
        <f t="shared" si="16"/>
        <v>21278</v>
      </c>
    </row>
    <row r="79" spans="2:27" x14ac:dyDescent="0.3">
      <c r="B79" s="12" t="s">
        <v>162</v>
      </c>
      <c r="C79" s="1">
        <v>42.36</v>
      </c>
      <c r="D79" s="1">
        <v>0</v>
      </c>
      <c r="E79" s="1">
        <v>49.51</v>
      </c>
      <c r="F79" s="1">
        <v>50.72</v>
      </c>
      <c r="G79" s="1" t="s">
        <v>11</v>
      </c>
      <c r="H79" s="1">
        <v>26</v>
      </c>
      <c r="I79" s="1">
        <v>126</v>
      </c>
      <c r="J79" s="13" t="s">
        <v>163</v>
      </c>
      <c r="K79" s="1">
        <v>0.09</v>
      </c>
      <c r="L79" s="1">
        <v>0</v>
      </c>
      <c r="M79" s="1">
        <v>0.05</v>
      </c>
      <c r="N79" s="1">
        <v>0.08</v>
      </c>
      <c r="O79" s="1" t="s">
        <v>11</v>
      </c>
      <c r="P79" s="1">
        <v>13109</v>
      </c>
      <c r="T79" s="1">
        <f t="shared" si="9"/>
        <v>0</v>
      </c>
      <c r="U79" s="1">
        <f t="shared" si="10"/>
        <v>0</v>
      </c>
      <c r="V79" s="1">
        <f t="shared" si="11"/>
        <v>1101.3599999999999</v>
      </c>
      <c r="W79" s="1">
        <f t="shared" si="12"/>
        <v>1179.81</v>
      </c>
      <c r="X79" s="1">
        <f t="shared" si="13"/>
        <v>0</v>
      </c>
      <c r="Y79" s="1">
        <f t="shared" si="14"/>
        <v>0</v>
      </c>
      <c r="Z79" s="1">
        <f t="shared" si="15"/>
        <v>26</v>
      </c>
      <c r="AA79" s="1">
        <f t="shared" si="16"/>
        <v>13109</v>
      </c>
    </row>
    <row r="80" spans="2:27" x14ac:dyDescent="0.3">
      <c r="B80" s="12" t="s">
        <v>164</v>
      </c>
      <c r="C80" s="1">
        <v>28.82</v>
      </c>
      <c r="D80" s="1">
        <v>0</v>
      </c>
      <c r="E80" s="1">
        <v>48.52</v>
      </c>
      <c r="F80" s="1">
        <v>49.73</v>
      </c>
      <c r="G80" s="1" t="s">
        <v>11</v>
      </c>
      <c r="H80" s="1">
        <v>1</v>
      </c>
      <c r="I80" s="1">
        <v>127</v>
      </c>
      <c r="J80" s="13" t="s">
        <v>165</v>
      </c>
      <c r="K80" s="1">
        <v>7.0000000000000007E-2</v>
      </c>
      <c r="L80" s="1">
        <v>0</v>
      </c>
      <c r="M80" s="1">
        <v>0.05</v>
      </c>
      <c r="N80" s="1">
        <v>0.08</v>
      </c>
      <c r="O80" s="1" t="s">
        <v>11</v>
      </c>
      <c r="P80" s="1">
        <v>38518</v>
      </c>
      <c r="T80" s="1">
        <f t="shared" si="9"/>
        <v>0</v>
      </c>
      <c r="U80" s="1">
        <f t="shared" si="10"/>
        <v>0</v>
      </c>
      <c r="V80" s="1">
        <f t="shared" si="11"/>
        <v>28.82</v>
      </c>
      <c r="W80" s="1">
        <f t="shared" si="12"/>
        <v>2696.26</v>
      </c>
      <c r="X80" s="1">
        <f t="shared" si="13"/>
        <v>0</v>
      </c>
      <c r="Y80" s="1">
        <f t="shared" si="14"/>
        <v>0</v>
      </c>
      <c r="Z80" s="1">
        <f t="shared" si="15"/>
        <v>1</v>
      </c>
      <c r="AA80" s="1">
        <f t="shared" si="16"/>
        <v>38518</v>
      </c>
    </row>
    <row r="81" spans="2:27" x14ac:dyDescent="0.3">
      <c r="B81" s="12" t="s">
        <v>166</v>
      </c>
      <c r="C81" s="1">
        <v>38.020000000000003</v>
      </c>
      <c r="D81" s="1">
        <v>0</v>
      </c>
      <c r="E81" s="1">
        <v>47.52</v>
      </c>
      <c r="F81" s="1">
        <v>48.73</v>
      </c>
      <c r="G81" s="1" t="s">
        <v>11</v>
      </c>
      <c r="H81" s="1">
        <v>15</v>
      </c>
      <c r="I81" s="14">
        <v>128</v>
      </c>
      <c r="J81" s="13" t="s">
        <v>167</v>
      </c>
      <c r="K81" s="1">
        <v>0.09</v>
      </c>
      <c r="L81" s="1">
        <v>0</v>
      </c>
      <c r="M81" s="1">
        <v>0.06</v>
      </c>
      <c r="N81" s="1">
        <v>0.09</v>
      </c>
      <c r="O81" s="1" t="s">
        <v>11</v>
      </c>
      <c r="P81" s="1">
        <v>12998</v>
      </c>
      <c r="T81" s="1">
        <f t="shared" si="9"/>
        <v>0</v>
      </c>
      <c r="U81" s="1">
        <f t="shared" si="10"/>
        <v>0</v>
      </c>
      <c r="V81" s="1">
        <f t="shared" si="11"/>
        <v>570.30000000000007</v>
      </c>
      <c r="W81" s="1">
        <f t="shared" si="12"/>
        <v>1169.82</v>
      </c>
      <c r="X81" s="1">
        <f t="shared" si="13"/>
        <v>0</v>
      </c>
      <c r="Y81" s="1">
        <f t="shared" si="14"/>
        <v>0</v>
      </c>
      <c r="Z81" s="1">
        <f t="shared" si="15"/>
        <v>15</v>
      </c>
      <c r="AA81" s="1">
        <f t="shared" si="16"/>
        <v>12998</v>
      </c>
    </row>
    <row r="82" spans="2:27" x14ac:dyDescent="0.3">
      <c r="B82" s="12" t="s">
        <v>168</v>
      </c>
      <c r="C82" s="1">
        <v>46.35</v>
      </c>
      <c r="D82" s="1">
        <v>0</v>
      </c>
      <c r="E82" s="1">
        <v>46.52</v>
      </c>
      <c r="F82" s="1">
        <v>47.73</v>
      </c>
      <c r="G82" s="1" t="s">
        <v>11</v>
      </c>
      <c r="H82" s="1">
        <v>37</v>
      </c>
      <c r="I82" s="1">
        <v>129</v>
      </c>
      <c r="J82" s="13" t="s">
        <v>169</v>
      </c>
      <c r="K82" s="1">
        <v>0.11</v>
      </c>
      <c r="L82" s="1">
        <v>0</v>
      </c>
      <c r="M82" s="1">
        <v>0.06</v>
      </c>
      <c r="N82" s="1">
        <v>0.09</v>
      </c>
      <c r="O82" s="1" t="s">
        <v>11</v>
      </c>
      <c r="P82" s="1">
        <v>8341</v>
      </c>
      <c r="T82" s="1">
        <f t="shared" si="9"/>
        <v>0</v>
      </c>
      <c r="U82" s="1">
        <f t="shared" si="10"/>
        <v>0</v>
      </c>
      <c r="V82" s="1">
        <f t="shared" si="11"/>
        <v>1714.95</v>
      </c>
      <c r="W82" s="1">
        <f t="shared" si="12"/>
        <v>917.51</v>
      </c>
      <c r="X82" s="1">
        <f t="shared" si="13"/>
        <v>0</v>
      </c>
      <c r="Y82" s="1">
        <f t="shared" si="14"/>
        <v>0</v>
      </c>
      <c r="Z82" s="1">
        <f t="shared" si="15"/>
        <v>37</v>
      </c>
      <c r="AA82" s="1">
        <f t="shared" si="16"/>
        <v>8341</v>
      </c>
    </row>
    <row r="83" spans="2:27" x14ac:dyDescent="0.3">
      <c r="B83" s="12" t="s">
        <v>170</v>
      </c>
      <c r="C83" s="1">
        <v>37.96</v>
      </c>
      <c r="D83" s="1">
        <v>0</v>
      </c>
      <c r="E83" s="1">
        <v>45.53</v>
      </c>
      <c r="F83" s="1">
        <v>46.74</v>
      </c>
      <c r="G83" s="1" t="s">
        <v>11</v>
      </c>
      <c r="H83" s="1">
        <v>192</v>
      </c>
      <c r="I83" s="1">
        <v>130</v>
      </c>
      <c r="J83" s="13" t="s">
        <v>171</v>
      </c>
      <c r="K83" s="1">
        <v>0.1</v>
      </c>
      <c r="L83" s="1">
        <v>0</v>
      </c>
      <c r="M83" s="1">
        <v>0.08</v>
      </c>
      <c r="N83" s="1">
        <v>0.1</v>
      </c>
      <c r="O83" s="1">
        <v>15</v>
      </c>
      <c r="P83" s="1">
        <v>31199</v>
      </c>
      <c r="T83" s="1">
        <f t="shared" si="9"/>
        <v>0</v>
      </c>
      <c r="U83" s="1">
        <f t="shared" si="10"/>
        <v>1.5</v>
      </c>
      <c r="V83" s="1">
        <f t="shared" si="11"/>
        <v>7288.32</v>
      </c>
      <c r="W83" s="1">
        <f t="shared" si="12"/>
        <v>3119.9</v>
      </c>
      <c r="X83" s="1">
        <f t="shared" si="13"/>
        <v>0</v>
      </c>
      <c r="Y83" s="1">
        <f t="shared" si="14"/>
        <v>15</v>
      </c>
      <c r="Z83" s="1">
        <f t="shared" si="15"/>
        <v>192</v>
      </c>
      <c r="AA83" s="1">
        <f t="shared" si="16"/>
        <v>31199</v>
      </c>
    </row>
    <row r="84" spans="2:27" x14ac:dyDescent="0.3">
      <c r="B84" s="12" t="s">
        <v>172</v>
      </c>
      <c r="C84" s="1">
        <v>35.270000000000003</v>
      </c>
      <c r="D84" s="1">
        <v>0</v>
      </c>
      <c r="E84" s="1">
        <v>44.53</v>
      </c>
      <c r="F84" s="1">
        <v>45.74</v>
      </c>
      <c r="G84" s="1" t="s">
        <v>11</v>
      </c>
      <c r="H84" s="1">
        <v>87</v>
      </c>
      <c r="I84" s="1">
        <v>131</v>
      </c>
      <c r="J84" s="13" t="s">
        <v>173</v>
      </c>
      <c r="K84" s="1">
        <v>0.11</v>
      </c>
      <c r="L84" s="1">
        <v>0</v>
      </c>
      <c r="M84" s="1">
        <v>0.08</v>
      </c>
      <c r="N84" s="1">
        <v>0.11</v>
      </c>
      <c r="O84" s="1" t="s">
        <v>11</v>
      </c>
      <c r="P84" s="1">
        <v>20405</v>
      </c>
      <c r="T84" s="1">
        <f t="shared" si="9"/>
        <v>0</v>
      </c>
      <c r="U84" s="1">
        <f t="shared" si="10"/>
        <v>0</v>
      </c>
      <c r="V84" s="1">
        <f t="shared" si="11"/>
        <v>3068.4900000000002</v>
      </c>
      <c r="W84" s="1">
        <f t="shared" si="12"/>
        <v>2244.5500000000002</v>
      </c>
      <c r="X84" s="1">
        <f t="shared" si="13"/>
        <v>0</v>
      </c>
      <c r="Y84" s="1">
        <f t="shared" si="14"/>
        <v>0</v>
      </c>
      <c r="Z84" s="1">
        <f t="shared" si="15"/>
        <v>87</v>
      </c>
      <c r="AA84" s="1">
        <f t="shared" si="16"/>
        <v>20405</v>
      </c>
    </row>
    <row r="85" spans="2:27" x14ac:dyDescent="0.3">
      <c r="B85" s="12" t="s">
        <v>174</v>
      </c>
      <c r="C85" s="1">
        <v>39.9</v>
      </c>
      <c r="D85" s="1">
        <v>0</v>
      </c>
      <c r="E85" s="1">
        <v>43.54</v>
      </c>
      <c r="F85" s="1">
        <v>44.75</v>
      </c>
      <c r="G85" s="1" t="s">
        <v>11</v>
      </c>
      <c r="H85" s="1">
        <v>12</v>
      </c>
      <c r="I85" s="1">
        <v>132</v>
      </c>
      <c r="J85" s="13" t="s">
        <v>175</v>
      </c>
      <c r="K85" s="1">
        <v>0.12</v>
      </c>
      <c r="L85" s="1">
        <v>0</v>
      </c>
      <c r="M85" s="1">
        <v>0.08</v>
      </c>
      <c r="N85" s="1">
        <v>0.12</v>
      </c>
      <c r="O85" s="1" t="s">
        <v>11</v>
      </c>
      <c r="P85" s="1">
        <v>15253</v>
      </c>
      <c r="T85" s="1">
        <f t="shared" si="9"/>
        <v>0</v>
      </c>
      <c r="U85" s="1">
        <f t="shared" si="10"/>
        <v>0</v>
      </c>
      <c r="V85" s="1">
        <f t="shared" si="11"/>
        <v>478.79999999999995</v>
      </c>
      <c r="W85" s="1">
        <f t="shared" si="12"/>
        <v>1830.36</v>
      </c>
      <c r="X85" s="1">
        <f t="shared" si="13"/>
        <v>0</v>
      </c>
      <c r="Y85" s="1">
        <f t="shared" si="14"/>
        <v>0</v>
      </c>
      <c r="Z85" s="1">
        <f t="shared" si="15"/>
        <v>12</v>
      </c>
      <c r="AA85" s="1">
        <f t="shared" si="16"/>
        <v>15253</v>
      </c>
    </row>
    <row r="86" spans="2:27" x14ac:dyDescent="0.3">
      <c r="B86" s="12" t="s">
        <v>176</v>
      </c>
      <c r="C86" s="1">
        <v>37.299999999999997</v>
      </c>
      <c r="D86" s="1">
        <v>0</v>
      </c>
      <c r="E86" s="1">
        <v>42.54</v>
      </c>
      <c r="F86" s="1">
        <v>43.75</v>
      </c>
      <c r="G86" s="1" t="s">
        <v>11</v>
      </c>
      <c r="H86" s="1">
        <v>2</v>
      </c>
      <c r="I86" s="1">
        <v>133</v>
      </c>
      <c r="J86" s="13" t="s">
        <v>177</v>
      </c>
      <c r="K86" s="1">
        <v>0.14000000000000001</v>
      </c>
      <c r="L86" s="1">
        <v>0</v>
      </c>
      <c r="M86" s="1">
        <v>0.09</v>
      </c>
      <c r="N86" s="1">
        <v>0.12</v>
      </c>
      <c r="O86" s="1" t="s">
        <v>11</v>
      </c>
      <c r="P86" s="1">
        <v>15150</v>
      </c>
      <c r="T86" s="1">
        <f t="shared" si="9"/>
        <v>0</v>
      </c>
      <c r="U86" s="1">
        <f t="shared" si="10"/>
        <v>0</v>
      </c>
      <c r="V86" s="1">
        <f t="shared" si="11"/>
        <v>74.599999999999994</v>
      </c>
      <c r="W86" s="1">
        <f t="shared" si="12"/>
        <v>2121</v>
      </c>
      <c r="X86" s="1">
        <f t="shared" si="13"/>
        <v>0</v>
      </c>
      <c r="Y86" s="1">
        <f t="shared" si="14"/>
        <v>0</v>
      </c>
      <c r="Z86" s="1">
        <f t="shared" si="15"/>
        <v>2</v>
      </c>
      <c r="AA86" s="1">
        <f t="shared" si="16"/>
        <v>15150</v>
      </c>
    </row>
    <row r="87" spans="2:27" x14ac:dyDescent="0.3">
      <c r="B87" s="12" t="s">
        <v>178</v>
      </c>
      <c r="C87" s="1">
        <v>29.38</v>
      </c>
      <c r="D87" s="1">
        <v>0</v>
      </c>
      <c r="E87" s="1">
        <v>41.54</v>
      </c>
      <c r="F87" s="1">
        <v>42.75</v>
      </c>
      <c r="G87" s="1" t="s">
        <v>11</v>
      </c>
      <c r="H87" s="1">
        <v>0</v>
      </c>
      <c r="I87" s="1">
        <v>134</v>
      </c>
      <c r="J87" s="13" t="s">
        <v>179</v>
      </c>
      <c r="K87" s="1">
        <v>0.15</v>
      </c>
      <c r="L87" s="1">
        <v>0</v>
      </c>
      <c r="M87" s="1">
        <v>0.1</v>
      </c>
      <c r="N87" s="1">
        <v>0.13</v>
      </c>
      <c r="O87" s="1" t="s">
        <v>11</v>
      </c>
      <c r="P87" s="1">
        <v>9581</v>
      </c>
      <c r="T87" s="1">
        <f t="shared" si="9"/>
        <v>0</v>
      </c>
      <c r="U87" s="1">
        <f t="shared" si="10"/>
        <v>0</v>
      </c>
      <c r="V87" s="1">
        <f t="shared" si="11"/>
        <v>0</v>
      </c>
      <c r="W87" s="1">
        <f t="shared" si="12"/>
        <v>1437.1499999999999</v>
      </c>
      <c r="X87" s="1">
        <f t="shared" si="13"/>
        <v>0</v>
      </c>
      <c r="Y87" s="1">
        <f t="shared" si="14"/>
        <v>0</v>
      </c>
      <c r="Z87" s="1">
        <f t="shared" si="15"/>
        <v>0</v>
      </c>
      <c r="AA87" s="1">
        <f t="shared" si="16"/>
        <v>9581</v>
      </c>
    </row>
    <row r="88" spans="2:27" x14ac:dyDescent="0.3">
      <c r="B88" s="12" t="s">
        <v>180</v>
      </c>
      <c r="C88" s="1">
        <v>42.09</v>
      </c>
      <c r="D88" s="1">
        <v>0</v>
      </c>
      <c r="E88" s="1">
        <v>40.549999999999997</v>
      </c>
      <c r="F88" s="1">
        <v>41.76</v>
      </c>
      <c r="G88" s="1" t="s">
        <v>11</v>
      </c>
      <c r="H88" s="1">
        <v>48</v>
      </c>
      <c r="I88" s="1">
        <v>135</v>
      </c>
      <c r="J88" s="13" t="s">
        <v>181</v>
      </c>
      <c r="K88" s="1">
        <v>0.14000000000000001</v>
      </c>
      <c r="L88" s="1">
        <v>0</v>
      </c>
      <c r="M88" s="1">
        <v>0.12</v>
      </c>
      <c r="N88" s="1">
        <v>0.14000000000000001</v>
      </c>
      <c r="O88" s="1">
        <v>106</v>
      </c>
      <c r="P88" s="1">
        <v>45023</v>
      </c>
      <c r="T88" s="1">
        <f t="shared" si="9"/>
        <v>0</v>
      </c>
      <c r="U88" s="1">
        <f t="shared" si="10"/>
        <v>14.840000000000002</v>
      </c>
      <c r="V88" s="1">
        <f t="shared" si="11"/>
        <v>2020.3200000000002</v>
      </c>
      <c r="W88" s="1">
        <f t="shared" si="12"/>
        <v>6303.22</v>
      </c>
      <c r="X88" s="1">
        <f t="shared" si="13"/>
        <v>0</v>
      </c>
      <c r="Y88" s="1">
        <f t="shared" si="14"/>
        <v>106</v>
      </c>
      <c r="Z88" s="1">
        <f t="shared" si="15"/>
        <v>48</v>
      </c>
      <c r="AA88" s="1">
        <f t="shared" si="16"/>
        <v>45023</v>
      </c>
    </row>
    <row r="89" spans="2:27" x14ac:dyDescent="0.3">
      <c r="B89" s="12" t="s">
        <v>182</v>
      </c>
      <c r="C89" s="1">
        <v>38.51</v>
      </c>
      <c r="D89" s="1">
        <v>0</v>
      </c>
      <c r="E89" s="1">
        <v>39.549999999999997</v>
      </c>
      <c r="F89" s="1">
        <v>40.76</v>
      </c>
      <c r="G89" s="1" t="s">
        <v>11</v>
      </c>
      <c r="H89" s="1">
        <v>11</v>
      </c>
      <c r="I89" s="1">
        <v>136</v>
      </c>
      <c r="J89" s="13" t="s">
        <v>183</v>
      </c>
      <c r="K89" s="1">
        <v>0.17</v>
      </c>
      <c r="L89" s="1">
        <v>0</v>
      </c>
      <c r="M89" s="1">
        <v>0.12</v>
      </c>
      <c r="N89" s="1">
        <v>0.15</v>
      </c>
      <c r="O89" s="1" t="s">
        <v>11</v>
      </c>
      <c r="P89" s="1">
        <v>8578</v>
      </c>
      <c r="T89" s="1">
        <f t="shared" si="9"/>
        <v>0</v>
      </c>
      <c r="U89" s="1">
        <f t="shared" si="10"/>
        <v>0</v>
      </c>
      <c r="V89" s="1">
        <f t="shared" si="11"/>
        <v>423.60999999999996</v>
      </c>
      <c r="W89" s="1">
        <f t="shared" si="12"/>
        <v>1458.2600000000002</v>
      </c>
      <c r="X89" s="1">
        <f t="shared" si="13"/>
        <v>0</v>
      </c>
      <c r="Y89" s="1">
        <f t="shared" si="14"/>
        <v>0</v>
      </c>
      <c r="Z89" s="1">
        <f t="shared" si="15"/>
        <v>11</v>
      </c>
      <c r="AA89" s="1">
        <f t="shared" si="16"/>
        <v>8578</v>
      </c>
    </row>
    <row r="90" spans="2:27" x14ac:dyDescent="0.3">
      <c r="B90" s="12" t="s">
        <v>184</v>
      </c>
      <c r="C90" s="1">
        <v>31.14</v>
      </c>
      <c r="D90" s="1">
        <v>0</v>
      </c>
      <c r="E90" s="1">
        <v>38.56</v>
      </c>
      <c r="F90" s="1">
        <v>39.770000000000003</v>
      </c>
      <c r="G90" s="1" t="s">
        <v>11</v>
      </c>
      <c r="H90" s="1">
        <v>0</v>
      </c>
      <c r="I90" s="1">
        <v>137</v>
      </c>
      <c r="J90" s="13" t="s">
        <v>185</v>
      </c>
      <c r="K90" s="1">
        <v>0.18</v>
      </c>
      <c r="L90" s="1">
        <v>0</v>
      </c>
      <c r="M90" s="1">
        <v>0.13</v>
      </c>
      <c r="N90" s="1">
        <v>0.17</v>
      </c>
      <c r="O90" s="1" t="s">
        <v>11</v>
      </c>
      <c r="P90" s="1">
        <v>23216</v>
      </c>
      <c r="T90" s="1">
        <f t="shared" si="9"/>
        <v>0</v>
      </c>
      <c r="U90" s="1">
        <f t="shared" si="10"/>
        <v>0</v>
      </c>
      <c r="V90" s="1">
        <f t="shared" si="11"/>
        <v>0</v>
      </c>
      <c r="W90" s="1">
        <f t="shared" si="12"/>
        <v>4178.88</v>
      </c>
      <c r="X90" s="1">
        <f t="shared" si="13"/>
        <v>0</v>
      </c>
      <c r="Y90" s="1">
        <f t="shared" si="14"/>
        <v>0</v>
      </c>
      <c r="Z90" s="1">
        <f t="shared" si="15"/>
        <v>0</v>
      </c>
      <c r="AA90" s="1">
        <f t="shared" si="16"/>
        <v>23216</v>
      </c>
    </row>
    <row r="91" spans="2:27" x14ac:dyDescent="0.3">
      <c r="B91" s="12" t="s">
        <v>186</v>
      </c>
      <c r="C91" s="1">
        <v>30.13</v>
      </c>
      <c r="D91" s="1">
        <v>0</v>
      </c>
      <c r="E91" s="1">
        <v>37.57</v>
      </c>
      <c r="F91" s="1">
        <v>38.78</v>
      </c>
      <c r="G91" s="1" t="s">
        <v>11</v>
      </c>
      <c r="H91" s="1">
        <v>19</v>
      </c>
      <c r="I91" s="1">
        <v>138</v>
      </c>
      <c r="J91" s="13" t="s">
        <v>187</v>
      </c>
      <c r="K91" s="1">
        <v>0.15</v>
      </c>
      <c r="L91" s="1">
        <v>0</v>
      </c>
      <c r="M91" s="1">
        <v>0.14000000000000001</v>
      </c>
      <c r="N91" s="1">
        <v>0.17</v>
      </c>
      <c r="O91" s="1" t="s">
        <v>11</v>
      </c>
      <c r="P91" s="1">
        <v>17836</v>
      </c>
      <c r="T91" s="1">
        <f t="shared" si="9"/>
        <v>0</v>
      </c>
      <c r="U91" s="1">
        <f t="shared" si="10"/>
        <v>0</v>
      </c>
      <c r="V91" s="1">
        <f t="shared" si="11"/>
        <v>572.47</v>
      </c>
      <c r="W91" s="1">
        <f t="shared" si="12"/>
        <v>2675.4</v>
      </c>
      <c r="X91" s="1">
        <f t="shared" si="13"/>
        <v>0</v>
      </c>
      <c r="Y91" s="1">
        <f t="shared" si="14"/>
        <v>0</v>
      </c>
      <c r="Z91" s="1">
        <f t="shared" si="15"/>
        <v>19</v>
      </c>
      <c r="AA91" s="1">
        <f t="shared" si="16"/>
        <v>17836</v>
      </c>
    </row>
    <row r="92" spans="2:27" x14ac:dyDescent="0.3">
      <c r="B92" s="12" t="s">
        <v>188</v>
      </c>
      <c r="C92" s="1">
        <v>28.56</v>
      </c>
      <c r="D92" s="1">
        <v>0</v>
      </c>
      <c r="E92" s="1">
        <v>36.57</v>
      </c>
      <c r="F92" s="1">
        <v>37.78</v>
      </c>
      <c r="G92" s="1" t="s">
        <v>11</v>
      </c>
      <c r="H92" s="1">
        <v>46</v>
      </c>
      <c r="I92" s="1">
        <v>139</v>
      </c>
      <c r="J92" s="13" t="s">
        <v>189</v>
      </c>
      <c r="K92" s="1">
        <v>0.2</v>
      </c>
      <c r="L92" s="1">
        <v>0</v>
      </c>
      <c r="M92" s="1">
        <v>0.15</v>
      </c>
      <c r="N92" s="1">
        <v>0.19</v>
      </c>
      <c r="O92" s="1" t="s">
        <v>11</v>
      </c>
      <c r="P92" s="1">
        <v>16766</v>
      </c>
      <c r="T92" s="1">
        <f t="shared" si="9"/>
        <v>0</v>
      </c>
      <c r="U92" s="1">
        <f t="shared" si="10"/>
        <v>0</v>
      </c>
      <c r="V92" s="1">
        <f t="shared" si="11"/>
        <v>1313.76</v>
      </c>
      <c r="W92" s="1">
        <f t="shared" si="12"/>
        <v>3353.2000000000003</v>
      </c>
      <c r="X92" s="1">
        <f t="shared" si="13"/>
        <v>0</v>
      </c>
      <c r="Y92" s="1">
        <f t="shared" si="14"/>
        <v>0</v>
      </c>
      <c r="Z92" s="1">
        <f t="shared" si="15"/>
        <v>46</v>
      </c>
      <c r="AA92" s="1">
        <f t="shared" si="16"/>
        <v>16766</v>
      </c>
    </row>
    <row r="93" spans="2:27" x14ac:dyDescent="0.3">
      <c r="B93" s="12" t="s">
        <v>190</v>
      </c>
      <c r="C93" s="1">
        <v>36.25</v>
      </c>
      <c r="D93" s="1">
        <v>-0.97</v>
      </c>
      <c r="E93" s="1">
        <v>35.58</v>
      </c>
      <c r="F93" s="1">
        <v>36.79</v>
      </c>
      <c r="G93" s="1">
        <v>40</v>
      </c>
      <c r="H93" s="1">
        <v>664</v>
      </c>
      <c r="I93" s="1">
        <v>140</v>
      </c>
      <c r="J93" s="13" t="s">
        <v>191</v>
      </c>
      <c r="K93" s="1">
        <v>0.2</v>
      </c>
      <c r="L93" s="1">
        <v>0</v>
      </c>
      <c r="M93" s="1">
        <v>0.18</v>
      </c>
      <c r="N93" s="1">
        <v>0.2</v>
      </c>
      <c r="O93" s="1">
        <v>20</v>
      </c>
      <c r="P93" s="1">
        <v>113588</v>
      </c>
      <c r="T93" s="1">
        <f t="shared" si="9"/>
        <v>1471.6</v>
      </c>
      <c r="U93" s="1">
        <f t="shared" si="10"/>
        <v>4</v>
      </c>
      <c r="V93" s="1">
        <f t="shared" si="11"/>
        <v>24070</v>
      </c>
      <c r="W93" s="1">
        <f t="shared" si="12"/>
        <v>22717.600000000002</v>
      </c>
      <c r="X93" s="1">
        <f t="shared" si="13"/>
        <v>40</v>
      </c>
      <c r="Y93" s="1">
        <f t="shared" si="14"/>
        <v>20</v>
      </c>
      <c r="Z93" s="1">
        <f t="shared" si="15"/>
        <v>664</v>
      </c>
      <c r="AA93" s="1">
        <f t="shared" si="16"/>
        <v>113588</v>
      </c>
    </row>
    <row r="94" spans="2:27" x14ac:dyDescent="0.3">
      <c r="B94" s="12" t="s">
        <v>192</v>
      </c>
      <c r="C94" s="1">
        <v>26.48</v>
      </c>
      <c r="D94" s="1">
        <v>0</v>
      </c>
      <c r="E94" s="1">
        <v>34.58</v>
      </c>
      <c r="F94" s="1">
        <v>35.79</v>
      </c>
      <c r="G94" s="1" t="s">
        <v>11</v>
      </c>
      <c r="H94" s="1">
        <v>45</v>
      </c>
      <c r="I94" s="1">
        <v>141</v>
      </c>
      <c r="J94" s="13" t="s">
        <v>193</v>
      </c>
      <c r="K94" s="1">
        <v>0.2</v>
      </c>
      <c r="L94" s="1">
        <v>-0.01</v>
      </c>
      <c r="M94" s="1">
        <v>0.17</v>
      </c>
      <c r="N94" s="1">
        <v>0.21</v>
      </c>
      <c r="O94" s="1">
        <v>1069</v>
      </c>
      <c r="P94" s="1">
        <v>27802</v>
      </c>
      <c r="T94" s="1">
        <f t="shared" si="9"/>
        <v>0</v>
      </c>
      <c r="U94" s="1">
        <f t="shared" si="10"/>
        <v>224.48999999999998</v>
      </c>
      <c r="V94" s="1">
        <f t="shared" si="11"/>
        <v>1191.5999999999999</v>
      </c>
      <c r="W94" s="1">
        <f t="shared" si="12"/>
        <v>5560.4000000000005</v>
      </c>
      <c r="X94" s="1">
        <f t="shared" si="13"/>
        <v>0</v>
      </c>
      <c r="Y94" s="1">
        <f t="shared" si="14"/>
        <v>1069</v>
      </c>
      <c r="Z94" s="1">
        <f t="shared" si="15"/>
        <v>45</v>
      </c>
      <c r="AA94" s="1">
        <f t="shared" si="16"/>
        <v>27802</v>
      </c>
    </row>
    <row r="95" spans="2:27" x14ac:dyDescent="0.3">
      <c r="B95" s="12" t="s">
        <v>194</v>
      </c>
      <c r="C95" s="1">
        <v>34.08</v>
      </c>
      <c r="D95" s="1">
        <v>0</v>
      </c>
      <c r="E95" s="1">
        <v>33.590000000000003</v>
      </c>
      <c r="F95" s="1">
        <v>34.799999999999997</v>
      </c>
      <c r="G95" s="1" t="s">
        <v>11</v>
      </c>
      <c r="H95" s="1">
        <v>143</v>
      </c>
      <c r="I95" s="1">
        <v>142</v>
      </c>
      <c r="J95" s="13" t="s">
        <v>195</v>
      </c>
      <c r="K95" s="1">
        <v>0.23</v>
      </c>
      <c r="L95" s="1">
        <v>0</v>
      </c>
      <c r="M95" s="1">
        <v>0.19</v>
      </c>
      <c r="N95" s="1">
        <v>0.22</v>
      </c>
      <c r="O95" s="1">
        <v>37</v>
      </c>
      <c r="P95" s="1">
        <v>103589</v>
      </c>
      <c r="T95" s="1">
        <f t="shared" si="9"/>
        <v>0</v>
      </c>
      <c r="U95" s="1">
        <f t="shared" si="10"/>
        <v>8.14</v>
      </c>
      <c r="V95" s="1">
        <f t="shared" si="11"/>
        <v>4873.4399999999996</v>
      </c>
      <c r="W95" s="1">
        <f t="shared" si="12"/>
        <v>23825.47</v>
      </c>
      <c r="X95" s="1">
        <f t="shared" si="13"/>
        <v>0</v>
      </c>
      <c r="Y95" s="1">
        <f t="shared" si="14"/>
        <v>37</v>
      </c>
      <c r="Z95" s="1">
        <f t="shared" si="15"/>
        <v>143</v>
      </c>
      <c r="AA95" s="1">
        <f t="shared" si="16"/>
        <v>103589</v>
      </c>
    </row>
    <row r="96" spans="2:27" x14ac:dyDescent="0.3">
      <c r="B96" s="12" t="s">
        <v>196</v>
      </c>
      <c r="C96" s="1">
        <v>32.130000000000003</v>
      </c>
      <c r="D96" s="1">
        <v>0</v>
      </c>
      <c r="E96" s="1">
        <v>32.6</v>
      </c>
      <c r="F96" s="1">
        <v>33.81</v>
      </c>
      <c r="G96" s="1" t="s">
        <v>11</v>
      </c>
      <c r="H96" s="1">
        <v>58</v>
      </c>
      <c r="I96" s="1">
        <v>143</v>
      </c>
      <c r="J96" s="13" t="s">
        <v>197</v>
      </c>
      <c r="K96" s="1">
        <v>0.26</v>
      </c>
      <c r="L96" s="1">
        <v>0</v>
      </c>
      <c r="M96" s="1">
        <v>0.2</v>
      </c>
      <c r="N96" s="1">
        <v>0.24</v>
      </c>
      <c r="O96" s="1" t="s">
        <v>11</v>
      </c>
      <c r="P96" s="1">
        <v>16339</v>
      </c>
      <c r="T96" s="1">
        <f t="shared" si="9"/>
        <v>0</v>
      </c>
      <c r="U96" s="1">
        <f t="shared" si="10"/>
        <v>0</v>
      </c>
      <c r="V96" s="1">
        <f t="shared" si="11"/>
        <v>1863.5400000000002</v>
      </c>
      <c r="W96" s="1">
        <f t="shared" si="12"/>
        <v>4248.1400000000003</v>
      </c>
      <c r="X96" s="1">
        <f t="shared" si="13"/>
        <v>0</v>
      </c>
      <c r="Y96" s="1">
        <f t="shared" si="14"/>
        <v>0</v>
      </c>
      <c r="Z96" s="1">
        <f t="shared" si="15"/>
        <v>58</v>
      </c>
      <c r="AA96" s="1">
        <f t="shared" si="16"/>
        <v>16339</v>
      </c>
    </row>
    <row r="97" spans="2:27" x14ac:dyDescent="0.3">
      <c r="B97" s="12" t="s">
        <v>198</v>
      </c>
      <c r="C97" s="1">
        <v>32.049999999999997</v>
      </c>
      <c r="D97" s="1">
        <v>0</v>
      </c>
      <c r="E97" s="1">
        <v>31.61</v>
      </c>
      <c r="F97" s="1">
        <v>32.82</v>
      </c>
      <c r="G97" s="1" t="s">
        <v>11</v>
      </c>
      <c r="H97" s="1">
        <v>73</v>
      </c>
      <c r="I97" s="1">
        <v>144</v>
      </c>
      <c r="J97" s="13" t="s">
        <v>199</v>
      </c>
      <c r="K97" s="1">
        <v>0.24</v>
      </c>
      <c r="L97" s="1">
        <v>0</v>
      </c>
      <c r="M97" s="1">
        <v>0.22</v>
      </c>
      <c r="N97" s="1">
        <v>0.26</v>
      </c>
      <c r="O97" s="1" t="s">
        <v>11</v>
      </c>
      <c r="P97" s="1">
        <v>20167</v>
      </c>
      <c r="T97" s="1">
        <f t="shared" si="9"/>
        <v>0</v>
      </c>
      <c r="U97" s="1">
        <f t="shared" si="10"/>
        <v>0</v>
      </c>
      <c r="V97" s="1">
        <f t="shared" si="11"/>
        <v>2339.6499999999996</v>
      </c>
      <c r="W97" s="1">
        <f t="shared" si="12"/>
        <v>4840.08</v>
      </c>
      <c r="X97" s="1">
        <f t="shared" si="13"/>
        <v>0</v>
      </c>
      <c r="Y97" s="1">
        <f t="shared" si="14"/>
        <v>0</v>
      </c>
      <c r="Z97" s="1">
        <f t="shared" si="15"/>
        <v>73</v>
      </c>
      <c r="AA97" s="1">
        <f t="shared" si="16"/>
        <v>20167</v>
      </c>
    </row>
    <row r="98" spans="2:27" x14ac:dyDescent="0.3">
      <c r="B98" s="12" t="s">
        <v>200</v>
      </c>
      <c r="C98" s="1">
        <v>31.6</v>
      </c>
      <c r="D98" s="1">
        <v>0</v>
      </c>
      <c r="E98" s="1">
        <v>30.62</v>
      </c>
      <c r="F98" s="1">
        <v>31.83</v>
      </c>
      <c r="G98" s="1" t="s">
        <v>11</v>
      </c>
      <c r="H98" s="1">
        <v>469</v>
      </c>
      <c r="I98" s="1">
        <v>145</v>
      </c>
      <c r="J98" s="13" t="s">
        <v>201</v>
      </c>
      <c r="K98" s="1">
        <v>0.28000000000000003</v>
      </c>
      <c r="L98" s="1">
        <v>0.02</v>
      </c>
      <c r="M98" s="1">
        <v>0.24</v>
      </c>
      <c r="N98" s="1">
        <v>0.28000000000000003</v>
      </c>
      <c r="O98" s="1">
        <v>20</v>
      </c>
      <c r="P98" s="1">
        <v>35843</v>
      </c>
      <c r="T98" s="1">
        <f t="shared" si="9"/>
        <v>0</v>
      </c>
      <c r="U98" s="1">
        <f t="shared" si="10"/>
        <v>5.6000000000000005</v>
      </c>
      <c r="V98" s="1">
        <f t="shared" si="11"/>
        <v>14820.400000000001</v>
      </c>
      <c r="W98" s="1">
        <f t="shared" si="12"/>
        <v>10036.040000000001</v>
      </c>
      <c r="X98" s="1">
        <f t="shared" si="13"/>
        <v>0</v>
      </c>
      <c r="Y98" s="1">
        <f t="shared" si="14"/>
        <v>20</v>
      </c>
      <c r="Z98" s="1">
        <f t="shared" si="15"/>
        <v>469</v>
      </c>
      <c r="AA98" s="1">
        <f t="shared" si="16"/>
        <v>35843</v>
      </c>
    </row>
    <row r="99" spans="2:27" x14ac:dyDescent="0.3">
      <c r="B99" s="12" t="s">
        <v>202</v>
      </c>
      <c r="C99" s="1">
        <v>30.26</v>
      </c>
      <c r="D99" s="1">
        <v>0</v>
      </c>
      <c r="E99" s="1">
        <v>29.63</v>
      </c>
      <c r="F99" s="1">
        <v>30.84</v>
      </c>
      <c r="G99" s="1" t="s">
        <v>11</v>
      </c>
      <c r="H99" s="1">
        <v>295</v>
      </c>
      <c r="I99" s="1">
        <v>146</v>
      </c>
      <c r="J99" s="13" t="s">
        <v>203</v>
      </c>
      <c r="K99" s="1">
        <v>0.28000000000000003</v>
      </c>
      <c r="L99" s="1">
        <v>0</v>
      </c>
      <c r="M99" s="1">
        <v>0.26</v>
      </c>
      <c r="N99" s="1">
        <v>0.3</v>
      </c>
      <c r="O99" s="1" t="s">
        <v>11</v>
      </c>
      <c r="P99" s="1">
        <v>17432</v>
      </c>
      <c r="T99" s="1">
        <f t="shared" si="9"/>
        <v>0</v>
      </c>
      <c r="U99" s="1">
        <f t="shared" si="10"/>
        <v>0</v>
      </c>
      <c r="V99" s="1">
        <f t="shared" si="11"/>
        <v>8926.7000000000007</v>
      </c>
      <c r="W99" s="1">
        <f t="shared" si="12"/>
        <v>4880.96</v>
      </c>
      <c r="X99" s="1">
        <f t="shared" si="13"/>
        <v>0</v>
      </c>
      <c r="Y99" s="1">
        <f t="shared" si="14"/>
        <v>0</v>
      </c>
      <c r="Z99" s="1">
        <f t="shared" si="15"/>
        <v>295</v>
      </c>
      <c r="AA99" s="1">
        <f t="shared" si="16"/>
        <v>17432</v>
      </c>
    </row>
    <row r="100" spans="2:27" x14ac:dyDescent="0.3">
      <c r="B100" s="12" t="s">
        <v>204</v>
      </c>
      <c r="C100" s="1">
        <v>29.13</v>
      </c>
      <c r="D100" s="1">
        <v>0</v>
      </c>
      <c r="E100" s="1">
        <v>28.64</v>
      </c>
      <c r="F100" s="1">
        <v>29.85</v>
      </c>
      <c r="G100" s="1" t="s">
        <v>11</v>
      </c>
      <c r="H100" s="1">
        <v>219</v>
      </c>
      <c r="I100" s="1">
        <v>147</v>
      </c>
      <c r="J100" s="13" t="s">
        <v>205</v>
      </c>
      <c r="K100" s="1">
        <v>0.3</v>
      </c>
      <c r="L100" s="1">
        <v>-0.01</v>
      </c>
      <c r="M100" s="1">
        <v>0.28000000000000003</v>
      </c>
      <c r="N100" s="1">
        <v>0.32</v>
      </c>
      <c r="O100" s="1">
        <v>32</v>
      </c>
      <c r="P100" s="1">
        <v>107414</v>
      </c>
      <c r="T100" s="1">
        <f t="shared" si="9"/>
        <v>0</v>
      </c>
      <c r="U100" s="1">
        <f t="shared" si="10"/>
        <v>10.24</v>
      </c>
      <c r="V100" s="1">
        <f t="shared" si="11"/>
        <v>6379.4699999999993</v>
      </c>
      <c r="W100" s="1">
        <f t="shared" si="12"/>
        <v>32224.199999999997</v>
      </c>
      <c r="X100" s="1">
        <f t="shared" si="13"/>
        <v>0</v>
      </c>
      <c r="Y100" s="1">
        <f t="shared" si="14"/>
        <v>32</v>
      </c>
      <c r="Z100" s="1">
        <f t="shared" si="15"/>
        <v>219</v>
      </c>
      <c r="AA100" s="1">
        <f t="shared" si="16"/>
        <v>107414</v>
      </c>
    </row>
    <row r="101" spans="2:27" x14ac:dyDescent="0.3">
      <c r="B101" s="12" t="s">
        <v>206</v>
      </c>
      <c r="C101" s="1">
        <v>26.8</v>
      </c>
      <c r="D101" s="1">
        <v>0</v>
      </c>
      <c r="E101" s="1">
        <v>27.66</v>
      </c>
      <c r="F101" s="1">
        <v>28.87</v>
      </c>
      <c r="G101" s="1" t="s">
        <v>11</v>
      </c>
      <c r="H101" s="1">
        <v>159</v>
      </c>
      <c r="I101" s="1">
        <v>148</v>
      </c>
      <c r="J101" s="13" t="s">
        <v>207</v>
      </c>
      <c r="K101" s="1">
        <v>0.33</v>
      </c>
      <c r="L101" s="1">
        <v>0.02</v>
      </c>
      <c r="M101" s="1">
        <v>0.3</v>
      </c>
      <c r="N101" s="1">
        <v>0.34</v>
      </c>
      <c r="O101" s="1">
        <v>1021</v>
      </c>
      <c r="P101" s="1">
        <v>17988</v>
      </c>
      <c r="T101" s="1">
        <f t="shared" si="9"/>
        <v>0</v>
      </c>
      <c r="U101" s="1">
        <f t="shared" si="10"/>
        <v>347.14000000000004</v>
      </c>
      <c r="V101" s="1">
        <f t="shared" si="11"/>
        <v>4261.2</v>
      </c>
      <c r="W101" s="1">
        <f t="shared" si="12"/>
        <v>5936.04</v>
      </c>
      <c r="X101" s="1">
        <f t="shared" si="13"/>
        <v>0</v>
      </c>
      <c r="Y101" s="1">
        <f t="shared" si="14"/>
        <v>1021</v>
      </c>
      <c r="Z101" s="1">
        <f t="shared" si="15"/>
        <v>159</v>
      </c>
      <c r="AA101" s="1">
        <f t="shared" si="16"/>
        <v>17988</v>
      </c>
    </row>
    <row r="102" spans="2:27" x14ac:dyDescent="0.3">
      <c r="B102" s="12" t="s">
        <v>208</v>
      </c>
      <c r="C102" s="1">
        <v>26.82</v>
      </c>
      <c r="D102" s="1">
        <v>0</v>
      </c>
      <c r="E102" s="1">
        <v>26.67</v>
      </c>
      <c r="F102" s="1">
        <v>27.88</v>
      </c>
      <c r="G102" s="1" t="s">
        <v>11</v>
      </c>
      <c r="H102" s="1">
        <v>3787</v>
      </c>
      <c r="I102" s="1">
        <v>149</v>
      </c>
      <c r="J102" s="13" t="s">
        <v>209</v>
      </c>
      <c r="K102" s="1">
        <v>0.36</v>
      </c>
      <c r="L102" s="1">
        <v>0.03</v>
      </c>
      <c r="M102" s="1">
        <v>0.33</v>
      </c>
      <c r="N102" s="1">
        <v>0.37</v>
      </c>
      <c r="O102" s="1">
        <v>119</v>
      </c>
      <c r="P102" s="1">
        <v>27069</v>
      </c>
      <c r="T102" s="1">
        <f t="shared" si="9"/>
        <v>0</v>
      </c>
      <c r="U102" s="1">
        <f t="shared" si="10"/>
        <v>44.03</v>
      </c>
      <c r="V102" s="1">
        <f t="shared" si="11"/>
        <v>101567.34</v>
      </c>
      <c r="W102" s="1">
        <f t="shared" si="12"/>
        <v>9744.84</v>
      </c>
      <c r="X102" s="1">
        <f t="shared" si="13"/>
        <v>0</v>
      </c>
      <c r="Y102" s="1">
        <f t="shared" si="14"/>
        <v>119</v>
      </c>
      <c r="Z102" s="1">
        <f t="shared" si="15"/>
        <v>3787</v>
      </c>
      <c r="AA102" s="1">
        <f t="shared" si="16"/>
        <v>27069</v>
      </c>
    </row>
    <row r="103" spans="2:27" x14ac:dyDescent="0.3">
      <c r="B103" s="12" t="s">
        <v>210</v>
      </c>
      <c r="C103" s="1">
        <v>25.94</v>
      </c>
      <c r="D103" s="1">
        <v>0</v>
      </c>
      <c r="E103" s="1">
        <v>25.69</v>
      </c>
      <c r="F103" s="1">
        <v>26.9</v>
      </c>
      <c r="G103" s="1" t="s">
        <v>11</v>
      </c>
      <c r="H103" s="1">
        <v>9379</v>
      </c>
      <c r="I103" s="1">
        <v>150</v>
      </c>
      <c r="J103" s="13" t="s">
        <v>211</v>
      </c>
      <c r="K103" s="1">
        <v>0.37</v>
      </c>
      <c r="L103" s="1">
        <v>-0.02</v>
      </c>
      <c r="M103" s="1">
        <v>0.35</v>
      </c>
      <c r="N103" s="1">
        <v>0.4</v>
      </c>
      <c r="O103" s="1">
        <v>1409</v>
      </c>
      <c r="P103" s="1">
        <v>139783</v>
      </c>
      <c r="T103" s="1">
        <f t="shared" si="9"/>
        <v>0</v>
      </c>
      <c r="U103" s="1">
        <f t="shared" si="10"/>
        <v>563.6</v>
      </c>
      <c r="V103" s="1">
        <f t="shared" si="11"/>
        <v>243291.26</v>
      </c>
      <c r="W103" s="1">
        <f t="shared" si="12"/>
        <v>51719.71</v>
      </c>
      <c r="X103" s="1">
        <f t="shared" si="13"/>
        <v>0</v>
      </c>
      <c r="Y103" s="1">
        <f t="shared" si="14"/>
        <v>1409</v>
      </c>
      <c r="Z103" s="1">
        <f t="shared" si="15"/>
        <v>9379</v>
      </c>
      <c r="AA103" s="1">
        <f t="shared" si="16"/>
        <v>139783</v>
      </c>
    </row>
    <row r="104" spans="2:27" x14ac:dyDescent="0.3">
      <c r="B104" s="12" t="s">
        <v>212</v>
      </c>
      <c r="C104" s="1">
        <v>18.5</v>
      </c>
      <c r="D104" s="1">
        <v>0</v>
      </c>
      <c r="E104" s="1">
        <v>24.71</v>
      </c>
      <c r="F104" s="1">
        <v>25.92</v>
      </c>
      <c r="G104" s="1" t="s">
        <v>11</v>
      </c>
      <c r="H104" s="1">
        <v>8137</v>
      </c>
      <c r="I104" s="1">
        <v>151</v>
      </c>
      <c r="J104" s="13" t="s">
        <v>213</v>
      </c>
      <c r="K104" s="1">
        <v>0.43</v>
      </c>
      <c r="L104" s="1">
        <v>0</v>
      </c>
      <c r="M104" s="1">
        <v>0.38</v>
      </c>
      <c r="N104" s="1">
        <v>0.43</v>
      </c>
      <c r="O104" s="1" t="s">
        <v>11</v>
      </c>
      <c r="P104" s="1">
        <v>28076</v>
      </c>
      <c r="T104" s="1">
        <f t="shared" si="9"/>
        <v>0</v>
      </c>
      <c r="U104" s="1">
        <f t="shared" si="10"/>
        <v>0</v>
      </c>
      <c r="V104" s="1">
        <f t="shared" si="11"/>
        <v>150534.5</v>
      </c>
      <c r="W104" s="1">
        <f t="shared" si="12"/>
        <v>12072.68</v>
      </c>
      <c r="X104" s="1">
        <f t="shared" si="13"/>
        <v>0</v>
      </c>
      <c r="Y104" s="1">
        <f t="shared" si="14"/>
        <v>0</v>
      </c>
      <c r="Z104" s="1">
        <f t="shared" si="15"/>
        <v>8137</v>
      </c>
      <c r="AA104" s="1">
        <f t="shared" si="16"/>
        <v>28076</v>
      </c>
    </row>
    <row r="105" spans="2:27" x14ac:dyDescent="0.3">
      <c r="B105" s="12" t="s">
        <v>214</v>
      </c>
      <c r="C105" s="1">
        <v>25.26</v>
      </c>
      <c r="D105" s="1">
        <v>0</v>
      </c>
      <c r="E105" s="1">
        <v>23.73</v>
      </c>
      <c r="F105" s="1">
        <v>24.94</v>
      </c>
      <c r="G105" s="1" t="s">
        <v>11</v>
      </c>
      <c r="H105" s="1">
        <v>8544</v>
      </c>
      <c r="I105" s="1">
        <v>152</v>
      </c>
      <c r="J105" s="13" t="s">
        <v>215</v>
      </c>
      <c r="K105" s="1">
        <v>0.48</v>
      </c>
      <c r="L105" s="1">
        <v>0.03</v>
      </c>
      <c r="M105" s="1">
        <v>0.42</v>
      </c>
      <c r="N105" s="1">
        <v>0.46</v>
      </c>
      <c r="O105" s="1">
        <v>278</v>
      </c>
      <c r="P105" s="1">
        <v>40251</v>
      </c>
      <c r="T105" s="1">
        <f t="shared" si="9"/>
        <v>0</v>
      </c>
      <c r="U105" s="1">
        <f t="shared" si="10"/>
        <v>127.88000000000001</v>
      </c>
      <c r="V105" s="1">
        <f t="shared" si="11"/>
        <v>215821.44</v>
      </c>
      <c r="W105" s="1">
        <f t="shared" si="12"/>
        <v>19320.48</v>
      </c>
      <c r="X105" s="1">
        <f t="shared" si="13"/>
        <v>0</v>
      </c>
      <c r="Y105" s="1">
        <f t="shared" si="14"/>
        <v>278</v>
      </c>
      <c r="Z105" s="1">
        <f t="shared" si="15"/>
        <v>8544</v>
      </c>
      <c r="AA105" s="1">
        <f t="shared" si="16"/>
        <v>40251</v>
      </c>
    </row>
    <row r="106" spans="2:27" x14ac:dyDescent="0.3">
      <c r="B106" s="12" t="s">
        <v>216</v>
      </c>
      <c r="C106" s="1">
        <v>22.37</v>
      </c>
      <c r="D106" s="1">
        <v>0</v>
      </c>
      <c r="E106" s="1">
        <v>22.75</v>
      </c>
      <c r="F106" s="1">
        <v>23.96</v>
      </c>
      <c r="G106" s="1" t="s">
        <v>11</v>
      </c>
      <c r="H106" s="1">
        <v>4240</v>
      </c>
      <c r="I106" s="1">
        <v>153</v>
      </c>
      <c r="J106" s="13" t="s">
        <v>217</v>
      </c>
      <c r="K106" s="1">
        <v>0.49</v>
      </c>
      <c r="L106" s="1">
        <v>0</v>
      </c>
      <c r="M106" s="1">
        <v>0.45</v>
      </c>
      <c r="N106" s="1">
        <v>0.48</v>
      </c>
      <c r="O106" s="1" t="s">
        <v>11</v>
      </c>
      <c r="P106" s="1">
        <v>37999</v>
      </c>
      <c r="T106" s="1">
        <f t="shared" si="9"/>
        <v>0</v>
      </c>
      <c r="U106" s="1">
        <f t="shared" si="10"/>
        <v>0</v>
      </c>
      <c r="V106" s="1">
        <f t="shared" si="11"/>
        <v>94848.8</v>
      </c>
      <c r="W106" s="1">
        <f t="shared" si="12"/>
        <v>18619.509999999998</v>
      </c>
      <c r="X106" s="1">
        <f t="shared" si="13"/>
        <v>0</v>
      </c>
      <c r="Y106" s="1">
        <f t="shared" si="14"/>
        <v>0</v>
      </c>
      <c r="Z106" s="1">
        <f t="shared" si="15"/>
        <v>4240</v>
      </c>
      <c r="AA106" s="1">
        <f t="shared" si="16"/>
        <v>37999</v>
      </c>
    </row>
    <row r="107" spans="2:27" x14ac:dyDescent="0.3">
      <c r="B107" s="12" t="s">
        <v>218</v>
      </c>
      <c r="C107" s="1">
        <v>22.65</v>
      </c>
      <c r="D107" s="1">
        <v>0</v>
      </c>
      <c r="E107" s="1">
        <v>21.78</v>
      </c>
      <c r="F107" s="1">
        <v>22.99</v>
      </c>
      <c r="G107" s="1" t="s">
        <v>11</v>
      </c>
      <c r="H107" s="1">
        <v>5736</v>
      </c>
      <c r="I107" s="1">
        <v>154</v>
      </c>
      <c r="J107" s="13" t="s">
        <v>219</v>
      </c>
      <c r="K107" s="1">
        <v>0.54</v>
      </c>
      <c r="L107" s="1">
        <v>0</v>
      </c>
      <c r="M107" s="1">
        <v>0.49</v>
      </c>
      <c r="N107" s="1">
        <v>0.52</v>
      </c>
      <c r="O107" s="1">
        <v>1</v>
      </c>
      <c r="P107" s="1">
        <v>24785</v>
      </c>
      <c r="T107" s="1">
        <f t="shared" si="9"/>
        <v>0</v>
      </c>
      <c r="U107" s="1">
        <f t="shared" si="10"/>
        <v>0.52</v>
      </c>
      <c r="V107" s="1">
        <f t="shared" si="11"/>
        <v>129920.4</v>
      </c>
      <c r="W107" s="1">
        <f t="shared" si="12"/>
        <v>13383.900000000001</v>
      </c>
      <c r="X107" s="1">
        <f t="shared" si="13"/>
        <v>0</v>
      </c>
      <c r="Y107" s="1">
        <f t="shared" si="14"/>
        <v>1</v>
      </c>
      <c r="Z107" s="1">
        <f t="shared" si="15"/>
        <v>5736</v>
      </c>
      <c r="AA107" s="1">
        <f t="shared" si="16"/>
        <v>24785</v>
      </c>
    </row>
    <row r="108" spans="2:27" x14ac:dyDescent="0.3">
      <c r="B108" s="12" t="s">
        <v>220</v>
      </c>
      <c r="C108" s="1">
        <v>20.96</v>
      </c>
      <c r="D108" s="1">
        <v>-0.65</v>
      </c>
      <c r="E108" s="1">
        <v>20.81</v>
      </c>
      <c r="F108" s="1">
        <v>22.02</v>
      </c>
      <c r="G108" s="1">
        <v>2</v>
      </c>
      <c r="H108" s="1">
        <v>14794</v>
      </c>
      <c r="I108" s="1">
        <v>155</v>
      </c>
      <c r="J108" s="13" t="s">
        <v>221</v>
      </c>
      <c r="K108" s="1">
        <v>0.54</v>
      </c>
      <c r="L108" s="1">
        <v>-0.03</v>
      </c>
      <c r="M108" s="1">
        <v>0.53</v>
      </c>
      <c r="N108" s="1">
        <v>0.57999999999999996</v>
      </c>
      <c r="O108" s="1">
        <v>508</v>
      </c>
      <c r="P108" s="1">
        <v>41964</v>
      </c>
      <c r="T108" s="1">
        <f t="shared" si="9"/>
        <v>44.04</v>
      </c>
      <c r="U108" s="1">
        <f t="shared" si="10"/>
        <v>294.64</v>
      </c>
      <c r="V108" s="1">
        <f t="shared" si="11"/>
        <v>310082.24</v>
      </c>
      <c r="W108" s="1">
        <f t="shared" si="12"/>
        <v>22660.560000000001</v>
      </c>
      <c r="X108" s="1">
        <f t="shared" si="13"/>
        <v>2</v>
      </c>
      <c r="Y108" s="1">
        <f t="shared" si="14"/>
        <v>508</v>
      </c>
      <c r="Z108" s="1">
        <f t="shared" si="15"/>
        <v>14794</v>
      </c>
      <c r="AA108" s="1">
        <f t="shared" si="16"/>
        <v>41964</v>
      </c>
    </row>
    <row r="109" spans="2:27" x14ac:dyDescent="0.3">
      <c r="B109" s="12" t="s">
        <v>222</v>
      </c>
      <c r="C109" s="1">
        <v>20.23</v>
      </c>
      <c r="D109" s="1">
        <v>-0.45</v>
      </c>
      <c r="E109" s="1">
        <v>19.84</v>
      </c>
      <c r="F109" s="1">
        <v>21.05</v>
      </c>
      <c r="G109" s="1">
        <v>4</v>
      </c>
      <c r="H109" s="1">
        <v>9372</v>
      </c>
      <c r="I109" s="1">
        <v>156</v>
      </c>
      <c r="J109" s="13" t="s">
        <v>223</v>
      </c>
      <c r="K109" s="1">
        <v>0.61</v>
      </c>
      <c r="L109" s="1">
        <v>-0.02</v>
      </c>
      <c r="M109" s="1">
        <v>0.57999999999999996</v>
      </c>
      <c r="N109" s="1">
        <v>0.63</v>
      </c>
      <c r="O109" s="1">
        <v>110</v>
      </c>
      <c r="P109" s="1">
        <v>17486</v>
      </c>
      <c r="T109" s="1">
        <f t="shared" si="9"/>
        <v>84.2</v>
      </c>
      <c r="U109" s="1">
        <f t="shared" si="10"/>
        <v>69.3</v>
      </c>
      <c r="V109" s="1">
        <f t="shared" si="11"/>
        <v>189595.56</v>
      </c>
      <c r="W109" s="1">
        <f t="shared" si="12"/>
        <v>10666.46</v>
      </c>
      <c r="X109" s="1">
        <f t="shared" si="13"/>
        <v>4</v>
      </c>
      <c r="Y109" s="1">
        <f t="shared" si="14"/>
        <v>110</v>
      </c>
      <c r="Z109" s="1">
        <f t="shared" si="15"/>
        <v>9372</v>
      </c>
      <c r="AA109" s="1">
        <f t="shared" si="16"/>
        <v>17486</v>
      </c>
    </row>
    <row r="110" spans="2:27" x14ac:dyDescent="0.3">
      <c r="B110" s="12" t="s">
        <v>224</v>
      </c>
      <c r="C110" s="1">
        <v>19.420000000000002</v>
      </c>
      <c r="D110" s="1">
        <v>0</v>
      </c>
      <c r="E110" s="1">
        <v>18.88</v>
      </c>
      <c r="F110" s="1">
        <v>20.09</v>
      </c>
      <c r="G110" s="1" t="s">
        <v>11</v>
      </c>
      <c r="H110" s="1">
        <v>10423</v>
      </c>
      <c r="I110" s="1">
        <v>157</v>
      </c>
      <c r="J110" s="13" t="s">
        <v>225</v>
      </c>
      <c r="K110" s="1">
        <v>0.69</v>
      </c>
      <c r="L110" s="1">
        <v>-0.01</v>
      </c>
      <c r="M110" s="1">
        <v>0.64</v>
      </c>
      <c r="N110" s="1">
        <v>0.68</v>
      </c>
      <c r="O110" s="1">
        <v>51</v>
      </c>
      <c r="P110" s="1">
        <v>13717</v>
      </c>
      <c r="T110" s="1">
        <f t="shared" si="9"/>
        <v>0</v>
      </c>
      <c r="U110" s="1">
        <f t="shared" si="10"/>
        <v>34.68</v>
      </c>
      <c r="V110" s="1">
        <f t="shared" si="11"/>
        <v>202414.66</v>
      </c>
      <c r="W110" s="1">
        <f t="shared" si="12"/>
        <v>9464.73</v>
      </c>
      <c r="X110" s="1">
        <f t="shared" si="13"/>
        <v>0</v>
      </c>
      <c r="Y110" s="1">
        <f t="shared" si="14"/>
        <v>51</v>
      </c>
      <c r="Z110" s="1">
        <f t="shared" si="15"/>
        <v>10423</v>
      </c>
      <c r="AA110" s="1">
        <f t="shared" si="16"/>
        <v>13717</v>
      </c>
    </row>
    <row r="111" spans="2:27" x14ac:dyDescent="0.3">
      <c r="B111" s="12" t="s">
        <v>226</v>
      </c>
      <c r="C111" s="1">
        <v>19.440000000000001</v>
      </c>
      <c r="D111" s="1">
        <v>0</v>
      </c>
      <c r="E111" s="1">
        <v>17.920000000000002</v>
      </c>
      <c r="F111" s="1">
        <v>19.13</v>
      </c>
      <c r="G111" s="1" t="s">
        <v>11</v>
      </c>
      <c r="H111" s="1">
        <v>12787</v>
      </c>
      <c r="I111" s="1">
        <v>158</v>
      </c>
      <c r="J111" s="13" t="s">
        <v>227</v>
      </c>
      <c r="K111" s="1">
        <v>0.78</v>
      </c>
      <c r="L111" s="1">
        <v>0.02</v>
      </c>
      <c r="M111" s="1">
        <v>0.7</v>
      </c>
      <c r="N111" s="1">
        <v>0.75</v>
      </c>
      <c r="O111" s="1">
        <v>131</v>
      </c>
      <c r="P111" s="1">
        <v>18875</v>
      </c>
      <c r="T111" s="1">
        <f t="shared" si="9"/>
        <v>0</v>
      </c>
      <c r="U111" s="1">
        <f t="shared" si="10"/>
        <v>98.25</v>
      </c>
      <c r="V111" s="1">
        <f t="shared" si="11"/>
        <v>248579.28000000003</v>
      </c>
      <c r="W111" s="1">
        <f t="shared" si="12"/>
        <v>14722.5</v>
      </c>
      <c r="X111" s="1">
        <f t="shared" si="13"/>
        <v>0</v>
      </c>
      <c r="Y111" s="1">
        <f t="shared" si="14"/>
        <v>131</v>
      </c>
      <c r="Z111" s="1">
        <f t="shared" si="15"/>
        <v>12787</v>
      </c>
      <c r="AA111" s="1">
        <f t="shared" si="16"/>
        <v>18875</v>
      </c>
    </row>
    <row r="112" spans="2:27" x14ac:dyDescent="0.3">
      <c r="B112" s="12" t="s">
        <v>228</v>
      </c>
      <c r="C112" s="1">
        <v>18.309999999999999</v>
      </c>
      <c r="D112" s="1">
        <v>0</v>
      </c>
      <c r="E112" s="1">
        <v>16.97</v>
      </c>
      <c r="F112" s="1">
        <v>18.18</v>
      </c>
      <c r="G112" s="1" t="s">
        <v>11</v>
      </c>
      <c r="H112" s="1">
        <v>8801</v>
      </c>
      <c r="I112" s="1">
        <v>159</v>
      </c>
      <c r="J112" s="13" t="s">
        <v>229</v>
      </c>
      <c r="K112" s="1">
        <v>0.78</v>
      </c>
      <c r="L112" s="1">
        <v>0</v>
      </c>
      <c r="M112" s="1">
        <v>0.76</v>
      </c>
      <c r="N112" s="1">
        <v>0.81</v>
      </c>
      <c r="O112" s="1">
        <v>213</v>
      </c>
      <c r="P112" s="1">
        <v>26608</v>
      </c>
      <c r="T112" s="1">
        <f t="shared" si="9"/>
        <v>0</v>
      </c>
      <c r="U112" s="1">
        <f t="shared" si="10"/>
        <v>172.53</v>
      </c>
      <c r="V112" s="1">
        <f t="shared" si="11"/>
        <v>161146.31</v>
      </c>
      <c r="W112" s="1">
        <f t="shared" si="12"/>
        <v>20754.240000000002</v>
      </c>
      <c r="X112" s="1">
        <f t="shared" si="13"/>
        <v>0</v>
      </c>
      <c r="Y112" s="1">
        <f t="shared" si="14"/>
        <v>213</v>
      </c>
      <c r="Z112" s="1">
        <f t="shared" si="15"/>
        <v>8801</v>
      </c>
      <c r="AA112" s="1">
        <f t="shared" si="16"/>
        <v>26608</v>
      </c>
    </row>
    <row r="113" spans="2:27" x14ac:dyDescent="0.3">
      <c r="B113" s="12" t="s">
        <v>230</v>
      </c>
      <c r="C113" s="1">
        <v>16.46</v>
      </c>
      <c r="D113" s="1">
        <v>-0.87</v>
      </c>
      <c r="E113" s="1">
        <v>16.02</v>
      </c>
      <c r="F113" s="1">
        <v>17.23</v>
      </c>
      <c r="G113" s="1">
        <v>24</v>
      </c>
      <c r="H113" s="1">
        <v>30213</v>
      </c>
      <c r="I113" s="1">
        <v>160</v>
      </c>
      <c r="J113" s="13" t="s">
        <v>231</v>
      </c>
      <c r="K113" s="1">
        <v>0.85</v>
      </c>
      <c r="L113" s="1">
        <v>-0.08</v>
      </c>
      <c r="M113" s="1">
        <v>0.84</v>
      </c>
      <c r="N113" s="1">
        <v>0.9</v>
      </c>
      <c r="O113" s="1">
        <v>629</v>
      </c>
      <c r="P113" s="1">
        <v>50528</v>
      </c>
      <c r="T113" s="1">
        <f t="shared" si="9"/>
        <v>413.52</v>
      </c>
      <c r="U113" s="1">
        <f t="shared" si="10"/>
        <v>566.1</v>
      </c>
      <c r="V113" s="1">
        <f t="shared" si="11"/>
        <v>497305.98000000004</v>
      </c>
      <c r="W113" s="1">
        <f t="shared" si="12"/>
        <v>42948.799999999996</v>
      </c>
      <c r="X113" s="1">
        <f t="shared" si="13"/>
        <v>24</v>
      </c>
      <c r="Y113" s="1">
        <f t="shared" si="14"/>
        <v>629</v>
      </c>
      <c r="Z113" s="1">
        <f t="shared" si="15"/>
        <v>30213</v>
      </c>
      <c r="AA113" s="1">
        <f t="shared" si="16"/>
        <v>50528</v>
      </c>
    </row>
    <row r="114" spans="2:27" x14ac:dyDescent="0.3">
      <c r="B114" s="12" t="s">
        <v>232</v>
      </c>
      <c r="C114" s="1">
        <v>15.69</v>
      </c>
      <c r="D114" s="1">
        <v>0</v>
      </c>
      <c r="E114" s="1">
        <v>15.08</v>
      </c>
      <c r="F114" s="1">
        <v>16.29</v>
      </c>
      <c r="G114" s="1" t="s">
        <v>11</v>
      </c>
      <c r="H114" s="1">
        <v>27819</v>
      </c>
      <c r="I114" s="1">
        <v>161</v>
      </c>
      <c r="J114" s="13" t="s">
        <v>233</v>
      </c>
      <c r="K114" s="1">
        <v>0.98</v>
      </c>
      <c r="L114" s="1">
        <v>0.05</v>
      </c>
      <c r="M114" s="1">
        <v>0.92</v>
      </c>
      <c r="N114" s="1">
        <v>0.98</v>
      </c>
      <c r="O114" s="1">
        <v>3167</v>
      </c>
      <c r="P114" s="1">
        <v>18694</v>
      </c>
      <c r="T114" s="1">
        <f t="shared" si="9"/>
        <v>0</v>
      </c>
      <c r="U114" s="1">
        <f t="shared" si="10"/>
        <v>3103.66</v>
      </c>
      <c r="V114" s="1">
        <f t="shared" si="11"/>
        <v>436480.11</v>
      </c>
      <c r="W114" s="1">
        <f t="shared" si="12"/>
        <v>18320.12</v>
      </c>
      <c r="X114" s="1">
        <f t="shared" si="13"/>
        <v>0</v>
      </c>
      <c r="Y114" s="1">
        <f t="shared" si="14"/>
        <v>3167</v>
      </c>
      <c r="Z114" s="1">
        <f t="shared" si="15"/>
        <v>27819</v>
      </c>
      <c r="AA114" s="1">
        <f t="shared" si="16"/>
        <v>18694</v>
      </c>
    </row>
    <row r="115" spans="2:27" x14ac:dyDescent="0.3">
      <c r="B115" s="12" t="s">
        <v>234</v>
      </c>
      <c r="C115" s="1">
        <v>14.7</v>
      </c>
      <c r="D115" s="1">
        <v>-0.33</v>
      </c>
      <c r="E115" s="1">
        <v>14.15</v>
      </c>
      <c r="F115" s="1">
        <v>15.36</v>
      </c>
      <c r="G115" s="1">
        <v>12</v>
      </c>
      <c r="H115" s="1">
        <v>30914</v>
      </c>
      <c r="I115" s="1">
        <v>162</v>
      </c>
      <c r="J115" s="13" t="s">
        <v>235</v>
      </c>
      <c r="K115" s="1">
        <v>1.04</v>
      </c>
      <c r="L115" s="1">
        <v>-0.05</v>
      </c>
      <c r="M115" s="1">
        <v>1.02</v>
      </c>
      <c r="N115" s="1">
        <v>1.08</v>
      </c>
      <c r="O115" s="1">
        <v>569</v>
      </c>
      <c r="P115" s="1">
        <v>60862</v>
      </c>
      <c r="T115" s="1">
        <f t="shared" si="9"/>
        <v>184.32</v>
      </c>
      <c r="U115" s="1">
        <f t="shared" si="10"/>
        <v>614.5200000000001</v>
      </c>
      <c r="V115" s="1">
        <f t="shared" si="11"/>
        <v>454435.8</v>
      </c>
      <c r="W115" s="1">
        <f t="shared" si="12"/>
        <v>63296.480000000003</v>
      </c>
      <c r="X115" s="1">
        <f t="shared" si="13"/>
        <v>12</v>
      </c>
      <c r="Y115" s="1">
        <f t="shared" si="14"/>
        <v>569</v>
      </c>
      <c r="Z115" s="1">
        <f t="shared" si="15"/>
        <v>30914</v>
      </c>
      <c r="AA115" s="1">
        <f t="shared" si="16"/>
        <v>60862</v>
      </c>
    </row>
    <row r="116" spans="2:27" x14ac:dyDescent="0.3">
      <c r="B116" s="12" t="s">
        <v>236</v>
      </c>
      <c r="C116" s="1">
        <v>13.67</v>
      </c>
      <c r="D116" s="1">
        <v>-0.78</v>
      </c>
      <c r="E116" s="1">
        <v>13.23</v>
      </c>
      <c r="F116" s="1">
        <v>14.44</v>
      </c>
      <c r="G116" s="1">
        <v>1</v>
      </c>
      <c r="H116" s="1">
        <v>34487</v>
      </c>
      <c r="I116" s="1">
        <v>163</v>
      </c>
      <c r="J116" s="13" t="s">
        <v>237</v>
      </c>
      <c r="K116" s="1">
        <v>1.1599999999999999</v>
      </c>
      <c r="L116" s="1">
        <v>0.06</v>
      </c>
      <c r="M116" s="1">
        <v>1.1200000000000001</v>
      </c>
      <c r="N116" s="1">
        <v>1.19</v>
      </c>
      <c r="O116" s="1">
        <v>152</v>
      </c>
      <c r="P116" s="1">
        <v>46388</v>
      </c>
      <c r="T116" s="1">
        <f t="shared" si="9"/>
        <v>14.44</v>
      </c>
      <c r="U116" s="1">
        <f t="shared" si="10"/>
        <v>180.88</v>
      </c>
      <c r="V116" s="1">
        <f t="shared" si="11"/>
        <v>471437.29</v>
      </c>
      <c r="W116" s="1">
        <f t="shared" si="12"/>
        <v>53810.079999999994</v>
      </c>
      <c r="X116" s="1">
        <f t="shared" si="13"/>
        <v>1</v>
      </c>
      <c r="Y116" s="1">
        <f t="shared" si="14"/>
        <v>152</v>
      </c>
      <c r="Z116" s="1">
        <f t="shared" si="15"/>
        <v>34487</v>
      </c>
      <c r="AA116" s="1">
        <f t="shared" si="16"/>
        <v>46388</v>
      </c>
    </row>
    <row r="117" spans="2:27" x14ac:dyDescent="0.3">
      <c r="B117" s="12" t="s">
        <v>238</v>
      </c>
      <c r="C117" s="1">
        <v>13</v>
      </c>
      <c r="D117" s="1">
        <v>-0.2</v>
      </c>
      <c r="E117" s="1">
        <v>12.33</v>
      </c>
      <c r="F117" s="1">
        <v>13.54</v>
      </c>
      <c r="G117" s="1">
        <v>19</v>
      </c>
      <c r="H117" s="1">
        <v>20831</v>
      </c>
      <c r="I117" s="1">
        <v>164</v>
      </c>
      <c r="J117" s="13" t="s">
        <v>239</v>
      </c>
      <c r="K117" s="1">
        <v>1.28</v>
      </c>
      <c r="L117" s="1">
        <v>-0.03</v>
      </c>
      <c r="M117" s="1">
        <v>1.24</v>
      </c>
      <c r="N117" s="1">
        <v>1.29</v>
      </c>
      <c r="O117" s="1">
        <v>1361</v>
      </c>
      <c r="P117" s="1">
        <v>37620</v>
      </c>
      <c r="T117" s="1">
        <f t="shared" si="9"/>
        <v>257.26</v>
      </c>
      <c r="U117" s="1">
        <f t="shared" si="10"/>
        <v>1755.69</v>
      </c>
      <c r="V117" s="1">
        <f t="shared" si="11"/>
        <v>270803</v>
      </c>
      <c r="W117" s="1">
        <f t="shared" si="12"/>
        <v>48153.599999999999</v>
      </c>
      <c r="X117" s="1">
        <f t="shared" si="13"/>
        <v>19</v>
      </c>
      <c r="Y117" s="1">
        <f t="shared" si="14"/>
        <v>1361</v>
      </c>
      <c r="Z117" s="1">
        <f t="shared" si="15"/>
        <v>20831</v>
      </c>
      <c r="AA117" s="1">
        <f t="shared" si="16"/>
        <v>37620</v>
      </c>
    </row>
    <row r="118" spans="2:27" x14ac:dyDescent="0.3">
      <c r="B118" s="12" t="s">
        <v>240</v>
      </c>
      <c r="C118" s="1">
        <v>12</v>
      </c>
      <c r="D118" s="1">
        <v>-0.2</v>
      </c>
      <c r="E118" s="1">
        <v>11.43</v>
      </c>
      <c r="F118" s="1">
        <v>12.64</v>
      </c>
      <c r="G118" s="1">
        <v>40</v>
      </c>
      <c r="H118" s="1">
        <v>23448</v>
      </c>
      <c r="I118" s="1">
        <v>165</v>
      </c>
      <c r="J118" s="13" t="s">
        <v>241</v>
      </c>
      <c r="K118" s="1">
        <v>1.37</v>
      </c>
      <c r="L118" s="1">
        <v>-0.1</v>
      </c>
      <c r="M118" s="1">
        <v>1.37</v>
      </c>
      <c r="N118" s="1">
        <v>1.44</v>
      </c>
      <c r="O118" s="1">
        <v>1794</v>
      </c>
      <c r="P118" s="1">
        <v>62094</v>
      </c>
      <c r="T118" s="1">
        <f t="shared" si="9"/>
        <v>505.6</v>
      </c>
      <c r="U118" s="1">
        <f t="shared" si="10"/>
        <v>2583.36</v>
      </c>
      <c r="V118" s="1">
        <f t="shared" si="11"/>
        <v>281376</v>
      </c>
      <c r="W118" s="1">
        <f t="shared" si="12"/>
        <v>85068.780000000013</v>
      </c>
      <c r="X118" s="1">
        <f t="shared" si="13"/>
        <v>40</v>
      </c>
      <c r="Y118" s="1">
        <f t="shared" si="14"/>
        <v>1794</v>
      </c>
      <c r="Z118" s="1">
        <f t="shared" si="15"/>
        <v>23448</v>
      </c>
      <c r="AA118" s="1">
        <f t="shared" si="16"/>
        <v>62094</v>
      </c>
    </row>
    <row r="119" spans="2:27" x14ac:dyDescent="0.3">
      <c r="B119" s="12" t="s">
        <v>242</v>
      </c>
      <c r="C119" s="1">
        <v>11.37</v>
      </c>
      <c r="D119" s="1">
        <v>-0.13</v>
      </c>
      <c r="E119" s="1">
        <v>10.55</v>
      </c>
      <c r="F119" s="1">
        <v>11.76</v>
      </c>
      <c r="G119" s="1">
        <v>53</v>
      </c>
      <c r="H119" s="1">
        <v>13595</v>
      </c>
      <c r="I119" s="14">
        <v>166</v>
      </c>
      <c r="J119" s="13" t="s">
        <v>243</v>
      </c>
      <c r="K119" s="1">
        <v>1.5</v>
      </c>
      <c r="L119" s="1">
        <v>-0.12</v>
      </c>
      <c r="M119" s="1">
        <v>1.52</v>
      </c>
      <c r="N119" s="1">
        <v>1.59</v>
      </c>
      <c r="O119" s="1">
        <v>484</v>
      </c>
      <c r="P119" s="1">
        <v>25919</v>
      </c>
      <c r="T119" s="1">
        <f t="shared" si="9"/>
        <v>623.28</v>
      </c>
      <c r="U119" s="1">
        <f t="shared" si="10"/>
        <v>769.56000000000006</v>
      </c>
      <c r="V119" s="1">
        <f t="shared" si="11"/>
        <v>154575.15</v>
      </c>
      <c r="W119" s="1">
        <f t="shared" si="12"/>
        <v>38878.5</v>
      </c>
      <c r="X119" s="1">
        <f t="shared" si="13"/>
        <v>53</v>
      </c>
      <c r="Y119" s="1">
        <f t="shared" si="14"/>
        <v>484</v>
      </c>
      <c r="Z119" s="1">
        <f t="shared" si="15"/>
        <v>13595</v>
      </c>
      <c r="AA119" s="1">
        <f t="shared" si="16"/>
        <v>25919</v>
      </c>
    </row>
    <row r="120" spans="2:27" x14ac:dyDescent="0.3">
      <c r="B120" s="12" t="s">
        <v>244</v>
      </c>
      <c r="C120" s="1">
        <v>10.27</v>
      </c>
      <c r="D120" s="1">
        <v>-0.69</v>
      </c>
      <c r="E120" s="1">
        <v>9.69</v>
      </c>
      <c r="F120" s="1">
        <v>10.45</v>
      </c>
      <c r="G120" s="1">
        <v>230</v>
      </c>
      <c r="H120" s="1">
        <v>16989</v>
      </c>
      <c r="I120" s="14">
        <v>167</v>
      </c>
      <c r="J120" s="13" t="s">
        <v>245</v>
      </c>
      <c r="K120" s="1">
        <v>1.68</v>
      </c>
      <c r="L120" s="1">
        <v>-0.12</v>
      </c>
      <c r="M120" s="1">
        <v>1.69</v>
      </c>
      <c r="N120" s="1">
        <v>1.76</v>
      </c>
      <c r="O120" s="1">
        <v>586</v>
      </c>
      <c r="P120" s="1">
        <v>20356</v>
      </c>
      <c r="T120" s="1">
        <f t="shared" si="9"/>
        <v>2403.5</v>
      </c>
      <c r="U120" s="1">
        <f t="shared" si="10"/>
        <v>1031.3599999999999</v>
      </c>
      <c r="V120" s="1">
        <f t="shared" si="11"/>
        <v>174477.03</v>
      </c>
      <c r="W120" s="1">
        <f t="shared" si="12"/>
        <v>34198.080000000002</v>
      </c>
      <c r="X120" s="1">
        <f t="shared" si="13"/>
        <v>230</v>
      </c>
      <c r="Y120" s="1">
        <f t="shared" si="14"/>
        <v>586</v>
      </c>
      <c r="Z120" s="1">
        <f t="shared" si="15"/>
        <v>16989</v>
      </c>
      <c r="AA120" s="1">
        <f t="shared" si="16"/>
        <v>20356</v>
      </c>
    </row>
    <row r="121" spans="2:27" x14ac:dyDescent="0.3">
      <c r="B121" s="12" t="s">
        <v>246</v>
      </c>
      <c r="C121" s="1">
        <v>9.64</v>
      </c>
      <c r="D121" s="1">
        <v>-0.49</v>
      </c>
      <c r="E121" s="1">
        <v>8.84</v>
      </c>
      <c r="F121" s="1">
        <v>9.61</v>
      </c>
      <c r="G121" s="1">
        <v>26</v>
      </c>
      <c r="H121" s="1">
        <v>14235</v>
      </c>
      <c r="I121" s="14">
        <v>168</v>
      </c>
      <c r="J121" s="13" t="s">
        <v>247</v>
      </c>
      <c r="K121" s="1">
        <v>1.9</v>
      </c>
      <c r="L121" s="1">
        <v>-0.09</v>
      </c>
      <c r="M121" s="1">
        <v>1.87</v>
      </c>
      <c r="N121" s="1">
        <v>1.95</v>
      </c>
      <c r="O121" s="1">
        <v>1977</v>
      </c>
      <c r="P121" s="1">
        <v>31987</v>
      </c>
      <c r="T121" s="1">
        <f t="shared" si="9"/>
        <v>249.85999999999999</v>
      </c>
      <c r="U121" s="1">
        <f t="shared" si="10"/>
        <v>3855.15</v>
      </c>
      <c r="V121" s="1">
        <f t="shared" si="11"/>
        <v>137225.4</v>
      </c>
      <c r="W121" s="1">
        <f t="shared" si="12"/>
        <v>60775.299999999996</v>
      </c>
      <c r="X121" s="1">
        <f t="shared" si="13"/>
        <v>26</v>
      </c>
      <c r="Y121" s="1">
        <f t="shared" si="14"/>
        <v>1977</v>
      </c>
      <c r="Z121" s="1">
        <f t="shared" si="15"/>
        <v>14235</v>
      </c>
      <c r="AA121" s="1">
        <f t="shared" si="16"/>
        <v>31987</v>
      </c>
    </row>
    <row r="122" spans="2:27" x14ac:dyDescent="0.3">
      <c r="B122" s="12" t="s">
        <v>248</v>
      </c>
      <c r="C122" s="1">
        <v>8.4600000000000009</v>
      </c>
      <c r="D122" s="1">
        <v>-0.4</v>
      </c>
      <c r="E122" s="1">
        <v>8.5</v>
      </c>
      <c r="F122" s="1">
        <v>8.7899999999999991</v>
      </c>
      <c r="G122" s="1">
        <v>8043</v>
      </c>
      <c r="H122" s="1">
        <v>71378</v>
      </c>
      <c r="I122" s="14">
        <v>169</v>
      </c>
      <c r="J122" s="13" t="s">
        <v>249</v>
      </c>
      <c r="K122" s="1">
        <v>2.13</v>
      </c>
      <c r="L122" s="1">
        <v>-7.0000000000000007E-2</v>
      </c>
      <c r="M122" s="1">
        <v>2.08</v>
      </c>
      <c r="N122" s="1">
        <v>2.16</v>
      </c>
      <c r="O122" s="1">
        <v>1110</v>
      </c>
      <c r="P122" s="1">
        <v>29519</v>
      </c>
      <c r="T122" s="1">
        <f t="shared" si="9"/>
        <v>70697.969999999987</v>
      </c>
      <c r="U122" s="1">
        <f t="shared" si="10"/>
        <v>2397.6000000000004</v>
      </c>
      <c r="V122" s="1">
        <f t="shared" si="11"/>
        <v>603857.88</v>
      </c>
      <c r="W122" s="1">
        <f t="shared" si="12"/>
        <v>62875.469999999994</v>
      </c>
      <c r="X122" s="1">
        <f t="shared" si="13"/>
        <v>8043</v>
      </c>
      <c r="Y122" s="1">
        <f t="shared" si="14"/>
        <v>1110</v>
      </c>
      <c r="Z122" s="1">
        <f t="shared" si="15"/>
        <v>71378</v>
      </c>
      <c r="AA122" s="1">
        <f t="shared" si="16"/>
        <v>29519</v>
      </c>
    </row>
    <row r="123" spans="2:27" x14ac:dyDescent="0.3">
      <c r="B123" s="12" t="s">
        <v>250</v>
      </c>
      <c r="C123" s="1">
        <v>7.8</v>
      </c>
      <c r="D123" s="1">
        <v>0.05</v>
      </c>
      <c r="E123" s="1">
        <v>7.53</v>
      </c>
      <c r="F123" s="1">
        <v>7.91</v>
      </c>
      <c r="G123" s="1">
        <v>978</v>
      </c>
      <c r="H123" s="1">
        <v>85157</v>
      </c>
      <c r="I123" s="14">
        <v>170</v>
      </c>
      <c r="J123" s="13" t="s">
        <v>251</v>
      </c>
      <c r="K123" s="1">
        <v>2.36</v>
      </c>
      <c r="L123" s="1">
        <v>-0.09</v>
      </c>
      <c r="M123" s="1">
        <v>2.31</v>
      </c>
      <c r="N123" s="1">
        <v>2.39</v>
      </c>
      <c r="O123" s="1">
        <v>5132</v>
      </c>
      <c r="P123" s="1">
        <v>119982</v>
      </c>
      <c r="T123" s="1">
        <f t="shared" si="9"/>
        <v>7735.9800000000005</v>
      </c>
      <c r="U123" s="1">
        <f t="shared" si="10"/>
        <v>12265.480000000001</v>
      </c>
      <c r="V123" s="1">
        <f t="shared" si="11"/>
        <v>664224.6</v>
      </c>
      <c r="W123" s="1">
        <f t="shared" si="12"/>
        <v>283157.51999999996</v>
      </c>
      <c r="X123" s="1">
        <f t="shared" si="13"/>
        <v>978</v>
      </c>
      <c r="Y123" s="1">
        <f t="shared" si="14"/>
        <v>5132</v>
      </c>
      <c r="Z123" s="1">
        <f t="shared" si="15"/>
        <v>85157</v>
      </c>
      <c r="AA123" s="1">
        <f t="shared" si="16"/>
        <v>119982</v>
      </c>
    </row>
    <row r="124" spans="2:27" x14ac:dyDescent="0.3">
      <c r="B124" s="12" t="s">
        <v>252</v>
      </c>
      <c r="C124" s="1">
        <v>4.38</v>
      </c>
      <c r="D124" s="1">
        <v>0.06</v>
      </c>
      <c r="E124" s="1">
        <v>4.18</v>
      </c>
      <c r="F124" s="1">
        <v>4.4000000000000004</v>
      </c>
      <c r="G124" s="1">
        <v>11164</v>
      </c>
      <c r="H124" s="1">
        <v>125623</v>
      </c>
      <c r="I124" s="14">
        <v>175</v>
      </c>
      <c r="J124" s="13" t="s">
        <v>253</v>
      </c>
      <c r="K124" s="1">
        <v>3.95</v>
      </c>
      <c r="L124" s="1">
        <v>-0.06</v>
      </c>
      <c r="M124" s="1">
        <v>3.94</v>
      </c>
      <c r="N124" s="1">
        <v>4.0199999999999996</v>
      </c>
      <c r="O124" s="1">
        <v>8910</v>
      </c>
      <c r="P124" s="1">
        <v>45312</v>
      </c>
      <c r="T124" s="1">
        <f t="shared" si="9"/>
        <v>49121.600000000006</v>
      </c>
      <c r="U124" s="1">
        <f t="shared" si="10"/>
        <v>35818.199999999997</v>
      </c>
      <c r="V124" s="1">
        <f t="shared" si="11"/>
        <v>550228.74</v>
      </c>
      <c r="W124" s="1">
        <f t="shared" si="12"/>
        <v>178982.39999999999</v>
      </c>
      <c r="X124" s="1">
        <f t="shared" si="13"/>
        <v>11164</v>
      </c>
      <c r="Y124" s="1">
        <f t="shared" si="14"/>
        <v>8910</v>
      </c>
      <c r="Z124" s="1">
        <f t="shared" si="15"/>
        <v>125623</v>
      </c>
      <c r="AA124" s="1">
        <f t="shared" si="16"/>
        <v>45312</v>
      </c>
    </row>
    <row r="125" spans="2:27" x14ac:dyDescent="0.3">
      <c r="B125" s="12" t="s">
        <v>254</v>
      </c>
      <c r="C125" s="1">
        <v>1.77</v>
      </c>
      <c r="D125" s="1">
        <v>-0.04</v>
      </c>
      <c r="E125" s="1">
        <v>1.75</v>
      </c>
      <c r="F125" s="1">
        <v>1.82</v>
      </c>
      <c r="G125" s="1">
        <v>1387</v>
      </c>
      <c r="H125" s="1">
        <v>240494</v>
      </c>
      <c r="I125" s="14">
        <v>180</v>
      </c>
      <c r="J125" s="13" t="s">
        <v>255</v>
      </c>
      <c r="K125" s="1">
        <v>6.35</v>
      </c>
      <c r="L125" s="1">
        <v>-0.45</v>
      </c>
      <c r="M125" s="1">
        <v>6.41</v>
      </c>
      <c r="N125" s="1">
        <v>6.87</v>
      </c>
      <c r="O125" s="1">
        <v>587</v>
      </c>
      <c r="P125" s="1">
        <v>2291</v>
      </c>
      <c r="T125" s="1">
        <f t="shared" si="9"/>
        <v>2524.34</v>
      </c>
      <c r="U125" s="1">
        <f t="shared" si="10"/>
        <v>4032.69</v>
      </c>
      <c r="V125" s="1">
        <f t="shared" si="11"/>
        <v>425674.38</v>
      </c>
      <c r="W125" s="1">
        <f t="shared" si="12"/>
        <v>14547.849999999999</v>
      </c>
      <c r="X125" s="1">
        <f t="shared" si="13"/>
        <v>1387</v>
      </c>
      <c r="Y125" s="1">
        <f t="shared" si="14"/>
        <v>587</v>
      </c>
      <c r="Z125" s="1">
        <f t="shared" si="15"/>
        <v>240494</v>
      </c>
      <c r="AA125" s="1">
        <f t="shared" si="16"/>
        <v>2291</v>
      </c>
    </row>
    <row r="126" spans="2:27" x14ac:dyDescent="0.3">
      <c r="B126" s="12" t="s">
        <v>256</v>
      </c>
      <c r="C126" s="1">
        <v>0.55000000000000004</v>
      </c>
      <c r="D126" s="1">
        <v>-0.05</v>
      </c>
      <c r="E126" s="1">
        <v>0.52</v>
      </c>
      <c r="F126" s="1">
        <v>0.57999999999999996</v>
      </c>
      <c r="G126" s="1">
        <v>153</v>
      </c>
      <c r="H126" s="1">
        <v>40497</v>
      </c>
      <c r="I126" s="14">
        <v>185</v>
      </c>
      <c r="J126" s="13" t="s">
        <v>257</v>
      </c>
      <c r="K126" s="1">
        <v>10.56</v>
      </c>
      <c r="L126" s="1">
        <v>0.46</v>
      </c>
      <c r="M126" s="1">
        <v>9.84</v>
      </c>
      <c r="N126" s="1">
        <v>11.05</v>
      </c>
      <c r="O126" s="1">
        <v>209</v>
      </c>
      <c r="P126" s="1">
        <v>434</v>
      </c>
      <c r="T126" s="1">
        <f t="shared" si="9"/>
        <v>88.74</v>
      </c>
      <c r="U126" s="1">
        <f t="shared" si="10"/>
        <v>2309.4500000000003</v>
      </c>
      <c r="V126" s="1">
        <f t="shared" si="11"/>
        <v>22273.350000000002</v>
      </c>
      <c r="W126" s="1">
        <f t="shared" si="12"/>
        <v>4583.04</v>
      </c>
      <c r="X126" s="1">
        <f t="shared" si="13"/>
        <v>153</v>
      </c>
      <c r="Y126" s="1">
        <f t="shared" si="14"/>
        <v>209</v>
      </c>
      <c r="Z126" s="1">
        <f t="shared" si="15"/>
        <v>40497</v>
      </c>
      <c r="AA126" s="1">
        <f t="shared" si="16"/>
        <v>434</v>
      </c>
    </row>
    <row r="127" spans="2:27" x14ac:dyDescent="0.3">
      <c r="B127" s="12" t="s">
        <v>258</v>
      </c>
      <c r="C127" s="1">
        <v>0.17</v>
      </c>
      <c r="D127" s="1">
        <v>0.01</v>
      </c>
      <c r="E127" s="1">
        <v>0.14000000000000001</v>
      </c>
      <c r="F127" s="1">
        <v>0.17</v>
      </c>
      <c r="G127" s="1">
        <v>10</v>
      </c>
      <c r="H127" s="1">
        <v>51105</v>
      </c>
      <c r="I127" s="14">
        <v>190</v>
      </c>
      <c r="J127" s="13" t="s">
        <v>259</v>
      </c>
      <c r="K127" s="1">
        <v>15.21</v>
      </c>
      <c r="L127" s="1">
        <v>-0.02</v>
      </c>
      <c r="M127" s="1">
        <v>14.47</v>
      </c>
      <c r="N127" s="1">
        <v>15.68</v>
      </c>
      <c r="O127" s="1">
        <v>5</v>
      </c>
      <c r="P127" s="1">
        <v>214</v>
      </c>
      <c r="T127" s="1">
        <f t="shared" si="9"/>
        <v>1.7000000000000002</v>
      </c>
      <c r="U127" s="1">
        <f t="shared" si="10"/>
        <v>78.400000000000006</v>
      </c>
      <c r="V127" s="1">
        <f t="shared" si="11"/>
        <v>8687.85</v>
      </c>
      <c r="W127" s="1">
        <f t="shared" si="12"/>
        <v>3254.94</v>
      </c>
      <c r="X127" s="1">
        <f t="shared" si="13"/>
        <v>10</v>
      </c>
      <c r="Y127" s="1">
        <f t="shared" si="14"/>
        <v>5</v>
      </c>
      <c r="Z127" s="1">
        <f t="shared" si="15"/>
        <v>51105</v>
      </c>
      <c r="AA127" s="1">
        <f t="shared" si="16"/>
        <v>214</v>
      </c>
    </row>
    <row r="128" spans="2:27" x14ac:dyDescent="0.3">
      <c r="B128" s="12" t="s">
        <v>260</v>
      </c>
      <c r="C128" s="1">
        <v>0.1</v>
      </c>
      <c r="D128" s="1">
        <v>0</v>
      </c>
      <c r="E128" s="1">
        <v>0.04</v>
      </c>
      <c r="F128" s="1">
        <v>7.0000000000000007E-2</v>
      </c>
      <c r="G128" s="1" t="s">
        <v>11</v>
      </c>
      <c r="H128" s="1">
        <v>26282</v>
      </c>
      <c r="I128" s="14">
        <v>195</v>
      </c>
      <c r="J128" s="13" t="s">
        <v>261</v>
      </c>
      <c r="K128" s="1">
        <v>24.48</v>
      </c>
      <c r="L128" s="1">
        <v>0</v>
      </c>
      <c r="M128" s="1">
        <v>19.36</v>
      </c>
      <c r="N128" s="1">
        <v>20.57</v>
      </c>
      <c r="O128" s="1" t="s">
        <v>11</v>
      </c>
      <c r="P128" s="1">
        <v>179</v>
      </c>
      <c r="T128" s="1">
        <f t="shared" si="9"/>
        <v>0</v>
      </c>
      <c r="U128" s="1">
        <f t="shared" si="10"/>
        <v>0</v>
      </c>
      <c r="V128" s="1">
        <f t="shared" si="11"/>
        <v>2628.2000000000003</v>
      </c>
      <c r="W128" s="1">
        <f t="shared" si="12"/>
        <v>4381.92</v>
      </c>
      <c r="X128" s="1">
        <f t="shared" si="13"/>
        <v>0</v>
      </c>
      <c r="Y128" s="1">
        <f t="shared" si="14"/>
        <v>0</v>
      </c>
      <c r="Z128" s="1">
        <f t="shared" si="15"/>
        <v>26282</v>
      </c>
      <c r="AA128" s="1">
        <f t="shared" si="16"/>
        <v>179</v>
      </c>
    </row>
    <row r="129" spans="2:27" x14ac:dyDescent="0.3">
      <c r="B129" s="12" t="s">
        <v>262</v>
      </c>
      <c r="C129" s="1">
        <v>0.03</v>
      </c>
      <c r="D129" s="1">
        <v>-0.01</v>
      </c>
      <c r="E129" s="1">
        <v>0.01</v>
      </c>
      <c r="F129" s="1">
        <v>0.04</v>
      </c>
      <c r="G129" s="1">
        <v>140</v>
      </c>
      <c r="H129" s="1">
        <v>14716</v>
      </c>
      <c r="I129" s="14">
        <v>200</v>
      </c>
      <c r="J129" s="13" t="s">
        <v>263</v>
      </c>
      <c r="K129" s="1">
        <v>24.5</v>
      </c>
      <c r="L129" s="1">
        <v>0</v>
      </c>
      <c r="M129" s="1">
        <v>24.33</v>
      </c>
      <c r="N129" s="1">
        <v>25.4</v>
      </c>
      <c r="O129" s="1" t="s">
        <v>11</v>
      </c>
      <c r="P129" s="1">
        <v>1148</v>
      </c>
      <c r="T129" s="1">
        <f t="shared" si="9"/>
        <v>5.6000000000000005</v>
      </c>
      <c r="U129" s="1">
        <f t="shared" si="10"/>
        <v>0</v>
      </c>
      <c r="V129" s="1">
        <f t="shared" si="11"/>
        <v>441.47999999999996</v>
      </c>
      <c r="W129" s="1">
        <f t="shared" si="12"/>
        <v>28126</v>
      </c>
      <c r="X129" s="1">
        <f t="shared" si="13"/>
        <v>140</v>
      </c>
      <c r="Y129" s="1">
        <f t="shared" si="14"/>
        <v>0</v>
      </c>
      <c r="Z129" s="1">
        <f t="shared" si="15"/>
        <v>14716</v>
      </c>
      <c r="AA129" s="1">
        <f t="shared" si="16"/>
        <v>1148</v>
      </c>
    </row>
    <row r="130" spans="2:27" x14ac:dyDescent="0.3">
      <c r="B130" s="12" t="s">
        <v>264</v>
      </c>
      <c r="C130" s="1">
        <v>0.02</v>
      </c>
      <c r="D130" s="1">
        <v>0</v>
      </c>
      <c r="E130" s="1">
        <v>0.01</v>
      </c>
      <c r="F130" s="1">
        <v>0.02</v>
      </c>
      <c r="G130" s="1" t="s">
        <v>11</v>
      </c>
      <c r="H130" s="1">
        <v>9163</v>
      </c>
      <c r="I130" s="14">
        <v>205</v>
      </c>
      <c r="J130" s="13" t="s">
        <v>265</v>
      </c>
      <c r="K130" s="1">
        <v>29.21</v>
      </c>
      <c r="L130" s="1">
        <v>0</v>
      </c>
      <c r="M130" s="1">
        <v>29.32</v>
      </c>
      <c r="N130" s="1">
        <v>30.53</v>
      </c>
      <c r="O130" s="1" t="s">
        <v>11</v>
      </c>
      <c r="P130" s="1">
        <v>71</v>
      </c>
      <c r="T130" s="1">
        <f t="shared" si="9"/>
        <v>0</v>
      </c>
      <c r="U130" s="1">
        <f t="shared" si="10"/>
        <v>0</v>
      </c>
      <c r="V130" s="1">
        <f t="shared" si="11"/>
        <v>183.26</v>
      </c>
      <c r="W130" s="1">
        <f t="shared" si="12"/>
        <v>2073.91</v>
      </c>
      <c r="X130" s="1">
        <f t="shared" si="13"/>
        <v>0</v>
      </c>
      <c r="Y130" s="1">
        <f t="shared" si="14"/>
        <v>0</v>
      </c>
      <c r="Z130" s="1">
        <f t="shared" si="15"/>
        <v>9163</v>
      </c>
      <c r="AA130" s="1">
        <f t="shared" si="16"/>
        <v>71</v>
      </c>
    </row>
    <row r="131" spans="2:27" x14ac:dyDescent="0.3">
      <c r="B131" s="12" t="s">
        <v>266</v>
      </c>
      <c r="C131" s="1">
        <v>0.01</v>
      </c>
      <c r="D131" s="1">
        <v>0</v>
      </c>
      <c r="E131" s="1" t="s">
        <v>11</v>
      </c>
      <c r="F131" s="1">
        <v>0.02</v>
      </c>
      <c r="G131" s="1" t="s">
        <v>11</v>
      </c>
      <c r="H131" s="1">
        <v>6196</v>
      </c>
      <c r="I131" s="14">
        <v>210</v>
      </c>
      <c r="J131" s="13" t="s">
        <v>267</v>
      </c>
      <c r="K131" s="1">
        <v>38.9</v>
      </c>
      <c r="L131" s="1">
        <v>0</v>
      </c>
      <c r="M131" s="1">
        <v>34.31</v>
      </c>
      <c r="N131" s="1">
        <v>35.520000000000003</v>
      </c>
      <c r="O131" s="1" t="s">
        <v>11</v>
      </c>
      <c r="P131" s="1">
        <v>302</v>
      </c>
      <c r="T131" s="1">
        <f t="shared" si="9"/>
        <v>0</v>
      </c>
      <c r="U131" s="1">
        <f t="shared" si="10"/>
        <v>0</v>
      </c>
      <c r="V131" s="1">
        <f t="shared" si="11"/>
        <v>61.96</v>
      </c>
      <c r="W131" s="1">
        <f t="shared" si="12"/>
        <v>11747.8</v>
      </c>
      <c r="X131" s="1">
        <f t="shared" si="13"/>
        <v>0</v>
      </c>
      <c r="Y131" s="1">
        <f t="shared" si="14"/>
        <v>0</v>
      </c>
      <c r="Z131" s="1">
        <f t="shared" si="15"/>
        <v>6196</v>
      </c>
      <c r="AA131" s="1">
        <f t="shared" si="16"/>
        <v>302</v>
      </c>
    </row>
    <row r="132" spans="2:27" x14ac:dyDescent="0.3">
      <c r="B132" s="12" t="s">
        <v>268</v>
      </c>
      <c r="C132" s="1">
        <v>122.7</v>
      </c>
      <c r="D132" s="1">
        <v>0</v>
      </c>
      <c r="E132" s="1">
        <v>155.43</v>
      </c>
      <c r="F132" s="1">
        <v>156.63999999999999</v>
      </c>
      <c r="G132" s="1" t="s">
        <v>11</v>
      </c>
      <c r="H132" s="1">
        <v>0</v>
      </c>
      <c r="I132" s="14">
        <v>20</v>
      </c>
      <c r="J132" s="13" t="s">
        <v>269</v>
      </c>
      <c r="K132" s="1">
        <v>0.03</v>
      </c>
      <c r="L132" s="1">
        <v>0</v>
      </c>
      <c r="M132" s="1">
        <v>0.01</v>
      </c>
      <c r="N132" s="1">
        <v>0.03</v>
      </c>
      <c r="O132" s="1" t="s">
        <v>11</v>
      </c>
      <c r="P132" s="1">
        <v>14197</v>
      </c>
      <c r="T132" s="1">
        <f t="shared" si="9"/>
        <v>0</v>
      </c>
      <c r="U132" s="1">
        <f t="shared" si="10"/>
        <v>0</v>
      </c>
      <c r="V132" s="1">
        <f t="shared" si="11"/>
        <v>0</v>
      </c>
      <c r="W132" s="1">
        <f t="shared" si="12"/>
        <v>425.90999999999997</v>
      </c>
      <c r="X132" s="1">
        <f t="shared" si="13"/>
        <v>0</v>
      </c>
      <c r="Y132" s="1">
        <f t="shared" si="14"/>
        <v>0</v>
      </c>
      <c r="Z132" s="1">
        <f t="shared" si="15"/>
        <v>0</v>
      </c>
      <c r="AA132" s="1">
        <f t="shared" si="16"/>
        <v>14197</v>
      </c>
    </row>
    <row r="133" spans="2:27" x14ac:dyDescent="0.3">
      <c r="B133" s="12" t="s">
        <v>270</v>
      </c>
      <c r="C133" s="1" t="s">
        <v>11</v>
      </c>
      <c r="D133" s="1" t="s">
        <v>11</v>
      </c>
      <c r="E133" s="1">
        <v>150.43</v>
      </c>
      <c r="F133" s="1">
        <v>151.63999999999999</v>
      </c>
      <c r="G133" s="1" t="s">
        <v>11</v>
      </c>
      <c r="H133" s="1">
        <v>0</v>
      </c>
      <c r="I133" s="14">
        <v>25</v>
      </c>
      <c r="J133" s="13" t="s">
        <v>271</v>
      </c>
      <c r="K133" s="1">
        <v>0.03</v>
      </c>
      <c r="L133" s="1">
        <v>0</v>
      </c>
      <c r="M133" s="1" t="s">
        <v>11</v>
      </c>
      <c r="N133" s="1">
        <v>0.03</v>
      </c>
      <c r="O133" s="1" t="s">
        <v>11</v>
      </c>
      <c r="P133" s="1">
        <v>2931</v>
      </c>
      <c r="T133" s="1">
        <f t="shared" si="9"/>
        <v>0</v>
      </c>
      <c r="U133" s="1">
        <f t="shared" si="10"/>
        <v>0</v>
      </c>
      <c r="V133" s="1">
        <f t="shared" si="11"/>
        <v>0</v>
      </c>
      <c r="W133" s="1">
        <f t="shared" si="12"/>
        <v>87.929999999999993</v>
      </c>
      <c r="X133" s="1">
        <f t="shared" si="13"/>
        <v>0</v>
      </c>
      <c r="Y133" s="1">
        <f t="shared" si="14"/>
        <v>0</v>
      </c>
      <c r="Z133" s="1">
        <f t="shared" si="15"/>
        <v>0</v>
      </c>
      <c r="AA133" s="1">
        <f t="shared" si="16"/>
        <v>2931</v>
      </c>
    </row>
    <row r="134" spans="2:27" x14ac:dyDescent="0.3">
      <c r="B134" s="12" t="s">
        <v>272</v>
      </c>
      <c r="C134" s="1" t="s">
        <v>11</v>
      </c>
      <c r="D134" s="1" t="s">
        <v>11</v>
      </c>
      <c r="E134" s="1">
        <v>145.43</v>
      </c>
      <c r="F134" s="1">
        <v>146.63999999999999</v>
      </c>
      <c r="G134" s="1" t="s">
        <v>11</v>
      </c>
      <c r="H134" s="1">
        <v>0</v>
      </c>
      <c r="I134" s="14">
        <v>30</v>
      </c>
      <c r="J134" s="13" t="s">
        <v>273</v>
      </c>
      <c r="K134" s="1">
        <v>0.04</v>
      </c>
      <c r="L134" s="1">
        <v>0</v>
      </c>
      <c r="M134" s="1" t="s">
        <v>11</v>
      </c>
      <c r="N134" s="1">
        <v>0.04</v>
      </c>
      <c r="O134" s="1" t="s">
        <v>11</v>
      </c>
      <c r="P134" s="1">
        <v>4663</v>
      </c>
      <c r="T134" s="1">
        <f t="shared" si="9"/>
        <v>0</v>
      </c>
      <c r="U134" s="1">
        <f t="shared" si="10"/>
        <v>0</v>
      </c>
      <c r="V134" s="1">
        <f t="shared" si="11"/>
        <v>0</v>
      </c>
      <c r="W134" s="1">
        <f t="shared" si="12"/>
        <v>186.52</v>
      </c>
      <c r="X134" s="1">
        <f t="shared" si="13"/>
        <v>0</v>
      </c>
      <c r="Y134" s="1">
        <f t="shared" si="14"/>
        <v>0</v>
      </c>
      <c r="Z134" s="1">
        <f t="shared" si="15"/>
        <v>0</v>
      </c>
      <c r="AA134" s="1">
        <f t="shared" si="16"/>
        <v>4663</v>
      </c>
    </row>
    <row r="135" spans="2:27" x14ac:dyDescent="0.3">
      <c r="B135" s="12" t="s">
        <v>274</v>
      </c>
      <c r="C135" s="1" t="s">
        <v>11</v>
      </c>
      <c r="D135" s="1" t="s">
        <v>11</v>
      </c>
      <c r="E135" s="1">
        <v>140.44</v>
      </c>
      <c r="F135" s="1">
        <v>141.65</v>
      </c>
      <c r="G135" s="1" t="s">
        <v>11</v>
      </c>
      <c r="H135" s="1">
        <v>0</v>
      </c>
      <c r="I135" s="14">
        <v>35</v>
      </c>
      <c r="J135" s="13" t="s">
        <v>275</v>
      </c>
      <c r="K135" s="1">
        <v>0.04</v>
      </c>
      <c r="L135" s="1">
        <v>0</v>
      </c>
      <c r="M135" s="1" t="s">
        <v>11</v>
      </c>
      <c r="N135" s="1">
        <v>0.05</v>
      </c>
      <c r="O135" s="1" t="s">
        <v>11</v>
      </c>
      <c r="P135" s="1">
        <v>455</v>
      </c>
      <c r="T135" s="1">
        <f t="shared" ref="T135:T198" si="17">IF(AND(G135="-"),0,G135*F135)</f>
        <v>0</v>
      </c>
      <c r="U135" s="1">
        <f t="shared" ref="U135:U198" si="18">IF(AND(O135="-"),0,O135*N135)</f>
        <v>0</v>
      </c>
      <c r="V135" s="1">
        <f t="shared" ref="V135:V198" si="19">IFERROR(C135*H135,0)</f>
        <v>0</v>
      </c>
      <c r="W135" s="1">
        <f t="shared" ref="W135:W198" si="20">IFERROR(K135*P135,0)</f>
        <v>18.2</v>
      </c>
      <c r="X135" s="1">
        <f t="shared" ref="X135:X198" si="21">IFERROR(G135*1,0)</f>
        <v>0</v>
      </c>
      <c r="Y135" s="1">
        <f t="shared" ref="Y135:Y198" si="22">IFERROR(O135*1,0)</f>
        <v>0</v>
      </c>
      <c r="Z135" s="1">
        <f t="shared" ref="Z135:Z198" si="23">IFERROR(H135*1,0)</f>
        <v>0</v>
      </c>
      <c r="AA135" s="1">
        <f t="shared" ref="AA135:AA198" si="24">IFERROR(P135*1,0)</f>
        <v>455</v>
      </c>
    </row>
    <row r="136" spans="2:27" x14ac:dyDescent="0.3">
      <c r="B136" s="12" t="s">
        <v>276</v>
      </c>
      <c r="C136" s="1" t="s">
        <v>11</v>
      </c>
      <c r="D136" s="1" t="s">
        <v>11</v>
      </c>
      <c r="E136" s="1">
        <v>135.44</v>
      </c>
      <c r="F136" s="1">
        <v>136.65</v>
      </c>
      <c r="G136" s="1" t="s">
        <v>11</v>
      </c>
      <c r="H136" s="1">
        <v>0</v>
      </c>
      <c r="I136" s="14">
        <v>40</v>
      </c>
      <c r="J136" s="13" t="s">
        <v>277</v>
      </c>
      <c r="K136" s="1">
        <v>0.05</v>
      </c>
      <c r="L136" s="1">
        <v>0</v>
      </c>
      <c r="M136" s="1">
        <v>0.01</v>
      </c>
      <c r="N136" s="1">
        <v>0.06</v>
      </c>
      <c r="O136" s="1" t="s">
        <v>11</v>
      </c>
      <c r="P136" s="1">
        <v>8247</v>
      </c>
      <c r="T136" s="1">
        <f t="shared" si="17"/>
        <v>0</v>
      </c>
      <c r="U136" s="1">
        <f t="shared" si="18"/>
        <v>0</v>
      </c>
      <c r="V136" s="1">
        <f t="shared" si="19"/>
        <v>0</v>
      </c>
      <c r="W136" s="1">
        <f t="shared" si="20"/>
        <v>412.35</v>
      </c>
      <c r="X136" s="1">
        <f t="shared" si="21"/>
        <v>0</v>
      </c>
      <c r="Y136" s="1">
        <f t="shared" si="22"/>
        <v>0</v>
      </c>
      <c r="Z136" s="1">
        <f t="shared" si="23"/>
        <v>0</v>
      </c>
      <c r="AA136" s="1">
        <f t="shared" si="24"/>
        <v>8247</v>
      </c>
    </row>
    <row r="137" spans="2:27" x14ac:dyDescent="0.3">
      <c r="B137" s="12" t="s">
        <v>278</v>
      </c>
      <c r="C137" s="1" t="s">
        <v>11</v>
      </c>
      <c r="D137" s="1" t="s">
        <v>11</v>
      </c>
      <c r="E137" s="1">
        <v>130.44999999999999</v>
      </c>
      <c r="F137" s="1">
        <v>131.66</v>
      </c>
      <c r="G137" s="1" t="s">
        <v>11</v>
      </c>
      <c r="H137" s="1">
        <v>0</v>
      </c>
      <c r="I137" s="14">
        <v>45</v>
      </c>
      <c r="J137" s="13" t="s">
        <v>279</v>
      </c>
      <c r="K137" s="1">
        <v>0.08</v>
      </c>
      <c r="L137" s="1">
        <v>0</v>
      </c>
      <c r="M137" s="1">
        <v>0.01</v>
      </c>
      <c r="N137" s="1">
        <v>0.06</v>
      </c>
      <c r="O137" s="1" t="s">
        <v>11</v>
      </c>
      <c r="P137" s="1">
        <v>973</v>
      </c>
      <c r="T137" s="1">
        <f t="shared" si="17"/>
        <v>0</v>
      </c>
      <c r="U137" s="1">
        <f t="shared" si="18"/>
        <v>0</v>
      </c>
      <c r="V137" s="1">
        <f t="shared" si="19"/>
        <v>0</v>
      </c>
      <c r="W137" s="1">
        <f t="shared" si="20"/>
        <v>77.84</v>
      </c>
      <c r="X137" s="1">
        <f t="shared" si="21"/>
        <v>0</v>
      </c>
      <c r="Y137" s="1">
        <f t="shared" si="22"/>
        <v>0</v>
      </c>
      <c r="Z137" s="1">
        <f t="shared" si="23"/>
        <v>0</v>
      </c>
      <c r="AA137" s="1">
        <f t="shared" si="24"/>
        <v>973</v>
      </c>
    </row>
    <row r="138" spans="2:27" x14ac:dyDescent="0.3">
      <c r="B138" s="12" t="s">
        <v>280</v>
      </c>
      <c r="C138" s="1">
        <v>109.62</v>
      </c>
      <c r="D138" s="1">
        <v>0</v>
      </c>
      <c r="E138" s="1">
        <v>125.46</v>
      </c>
      <c r="F138" s="1">
        <v>126.67</v>
      </c>
      <c r="G138" s="1" t="s">
        <v>11</v>
      </c>
      <c r="H138" s="1">
        <v>5</v>
      </c>
      <c r="I138" s="14">
        <v>50</v>
      </c>
      <c r="J138" s="13" t="s">
        <v>281</v>
      </c>
      <c r="K138" s="1">
        <v>0.02</v>
      </c>
      <c r="L138" s="1">
        <v>0</v>
      </c>
      <c r="M138" s="1">
        <v>0.02</v>
      </c>
      <c r="N138" s="1">
        <v>7.0000000000000007E-2</v>
      </c>
      <c r="O138" s="1" t="s">
        <v>11</v>
      </c>
      <c r="P138" s="1">
        <v>3981</v>
      </c>
      <c r="T138" s="1">
        <f t="shared" si="17"/>
        <v>0</v>
      </c>
      <c r="U138" s="1">
        <f t="shared" si="18"/>
        <v>0</v>
      </c>
      <c r="V138" s="1">
        <f t="shared" si="19"/>
        <v>548.1</v>
      </c>
      <c r="W138" s="1">
        <f t="shared" si="20"/>
        <v>79.62</v>
      </c>
      <c r="X138" s="1">
        <f t="shared" si="21"/>
        <v>0</v>
      </c>
      <c r="Y138" s="1">
        <f t="shared" si="22"/>
        <v>0</v>
      </c>
      <c r="Z138" s="1">
        <f t="shared" si="23"/>
        <v>5</v>
      </c>
      <c r="AA138" s="1">
        <f t="shared" si="24"/>
        <v>3981</v>
      </c>
    </row>
    <row r="139" spans="2:27" x14ac:dyDescent="0.3">
      <c r="B139" s="12" t="s">
        <v>282</v>
      </c>
      <c r="C139" s="1" t="s">
        <v>11</v>
      </c>
      <c r="D139" s="1" t="s">
        <v>11</v>
      </c>
      <c r="E139" s="1">
        <v>120.48</v>
      </c>
      <c r="F139" s="1">
        <v>121.69</v>
      </c>
      <c r="G139" s="1" t="s">
        <v>11</v>
      </c>
      <c r="H139" s="1">
        <v>0</v>
      </c>
      <c r="I139" s="14">
        <v>55</v>
      </c>
      <c r="J139" s="13" t="s">
        <v>283</v>
      </c>
      <c r="K139" s="1">
        <v>0.14000000000000001</v>
      </c>
      <c r="L139" s="1">
        <v>0</v>
      </c>
      <c r="M139" s="1">
        <v>0.03</v>
      </c>
      <c r="N139" s="1">
        <v>0.08</v>
      </c>
      <c r="O139" s="1" t="s">
        <v>11</v>
      </c>
      <c r="P139" s="1">
        <v>1499</v>
      </c>
      <c r="T139" s="1">
        <f t="shared" si="17"/>
        <v>0</v>
      </c>
      <c r="U139" s="1">
        <f t="shared" si="18"/>
        <v>0</v>
      </c>
      <c r="V139" s="1">
        <f t="shared" si="19"/>
        <v>0</v>
      </c>
      <c r="W139" s="1">
        <f t="shared" si="20"/>
        <v>209.86</v>
      </c>
      <c r="X139" s="1">
        <f t="shared" si="21"/>
        <v>0</v>
      </c>
      <c r="Y139" s="1">
        <f t="shared" si="22"/>
        <v>0</v>
      </c>
      <c r="Z139" s="1">
        <f t="shared" si="23"/>
        <v>0</v>
      </c>
      <c r="AA139" s="1">
        <f t="shared" si="24"/>
        <v>1499</v>
      </c>
    </row>
    <row r="140" spans="2:27" x14ac:dyDescent="0.3">
      <c r="B140" s="12" t="s">
        <v>284</v>
      </c>
      <c r="C140" s="1">
        <v>99.4</v>
      </c>
      <c r="D140" s="1">
        <v>0</v>
      </c>
      <c r="E140" s="1">
        <v>115.5</v>
      </c>
      <c r="F140" s="1">
        <v>116.71</v>
      </c>
      <c r="G140" s="1" t="s">
        <v>11</v>
      </c>
      <c r="H140" s="1">
        <v>3</v>
      </c>
      <c r="I140" s="14">
        <v>60</v>
      </c>
      <c r="J140" s="13" t="s">
        <v>285</v>
      </c>
      <c r="K140" s="1">
        <v>0.1</v>
      </c>
      <c r="L140" s="1">
        <v>0</v>
      </c>
      <c r="M140" s="1">
        <v>0.05</v>
      </c>
      <c r="N140" s="1">
        <v>0.1</v>
      </c>
      <c r="O140" s="1" t="s">
        <v>11</v>
      </c>
      <c r="P140" s="1">
        <v>2812</v>
      </c>
      <c r="T140" s="1">
        <f t="shared" si="17"/>
        <v>0</v>
      </c>
      <c r="U140" s="1">
        <f t="shared" si="18"/>
        <v>0</v>
      </c>
      <c r="V140" s="1">
        <f t="shared" si="19"/>
        <v>298.20000000000005</v>
      </c>
      <c r="W140" s="1">
        <f t="shared" si="20"/>
        <v>281.2</v>
      </c>
      <c r="X140" s="1">
        <f t="shared" si="21"/>
        <v>0</v>
      </c>
      <c r="Y140" s="1">
        <f t="shared" si="22"/>
        <v>0</v>
      </c>
      <c r="Z140" s="1">
        <f t="shared" si="23"/>
        <v>3</v>
      </c>
      <c r="AA140" s="1">
        <f t="shared" si="24"/>
        <v>2812</v>
      </c>
    </row>
    <row r="141" spans="2:27" x14ac:dyDescent="0.3">
      <c r="B141" s="12" t="s">
        <v>286</v>
      </c>
      <c r="C141" s="1">
        <v>101.03</v>
      </c>
      <c r="D141" s="1">
        <v>0</v>
      </c>
      <c r="E141" s="1">
        <v>110.51</v>
      </c>
      <c r="F141" s="1">
        <v>111.72</v>
      </c>
      <c r="G141" s="1" t="s">
        <v>11</v>
      </c>
      <c r="H141" s="1">
        <v>1</v>
      </c>
      <c r="I141" s="14">
        <v>65</v>
      </c>
      <c r="J141" s="13" t="s">
        <v>287</v>
      </c>
      <c r="K141" s="1">
        <v>0.1</v>
      </c>
      <c r="L141" s="1">
        <v>0</v>
      </c>
      <c r="M141" s="1">
        <v>7.0000000000000007E-2</v>
      </c>
      <c r="N141" s="1">
        <v>0.12</v>
      </c>
      <c r="O141" s="1" t="s">
        <v>11</v>
      </c>
      <c r="P141" s="1">
        <v>5025</v>
      </c>
      <c r="T141" s="1">
        <f t="shared" si="17"/>
        <v>0</v>
      </c>
      <c r="U141" s="1">
        <f t="shared" si="18"/>
        <v>0</v>
      </c>
      <c r="V141" s="1">
        <f t="shared" si="19"/>
        <v>101.03</v>
      </c>
      <c r="W141" s="1">
        <f t="shared" si="20"/>
        <v>502.5</v>
      </c>
      <c r="X141" s="1">
        <f t="shared" si="21"/>
        <v>0</v>
      </c>
      <c r="Y141" s="1">
        <f t="shared" si="22"/>
        <v>0</v>
      </c>
      <c r="Z141" s="1">
        <f t="shared" si="23"/>
        <v>1</v>
      </c>
      <c r="AA141" s="1">
        <f t="shared" si="24"/>
        <v>5025</v>
      </c>
    </row>
    <row r="142" spans="2:27" x14ac:dyDescent="0.3">
      <c r="B142" s="12" t="s">
        <v>288</v>
      </c>
      <c r="C142" s="1">
        <v>102.69</v>
      </c>
      <c r="D142" s="1">
        <v>0</v>
      </c>
      <c r="E142" s="1">
        <v>105.53</v>
      </c>
      <c r="F142" s="1">
        <v>106.74</v>
      </c>
      <c r="G142" s="1" t="s">
        <v>11</v>
      </c>
      <c r="H142" s="1">
        <v>23</v>
      </c>
      <c r="I142" s="14">
        <v>70</v>
      </c>
      <c r="J142" s="13" t="s">
        <v>289</v>
      </c>
      <c r="K142" s="1">
        <v>0.15</v>
      </c>
      <c r="L142" s="1">
        <v>0</v>
      </c>
      <c r="M142" s="1">
        <v>0.11</v>
      </c>
      <c r="N142" s="1">
        <v>0.16</v>
      </c>
      <c r="O142" s="1" t="s">
        <v>11</v>
      </c>
      <c r="P142" s="1">
        <v>11926</v>
      </c>
      <c r="T142" s="1">
        <f t="shared" si="17"/>
        <v>0</v>
      </c>
      <c r="U142" s="1">
        <f t="shared" si="18"/>
        <v>0</v>
      </c>
      <c r="V142" s="1">
        <f t="shared" si="19"/>
        <v>2361.87</v>
      </c>
      <c r="W142" s="1">
        <f t="shared" si="20"/>
        <v>1788.8999999999999</v>
      </c>
      <c r="X142" s="1">
        <f t="shared" si="21"/>
        <v>0</v>
      </c>
      <c r="Y142" s="1">
        <f t="shared" si="22"/>
        <v>0</v>
      </c>
      <c r="Z142" s="1">
        <f t="shared" si="23"/>
        <v>23</v>
      </c>
      <c r="AA142" s="1">
        <f t="shared" si="24"/>
        <v>11926</v>
      </c>
    </row>
    <row r="143" spans="2:27" x14ac:dyDescent="0.3">
      <c r="B143" s="12" t="s">
        <v>290</v>
      </c>
      <c r="C143" s="1">
        <v>79.900000000000006</v>
      </c>
      <c r="D143" s="1">
        <v>0</v>
      </c>
      <c r="E143" s="1">
        <v>100.55</v>
      </c>
      <c r="F143" s="1">
        <v>101.76</v>
      </c>
      <c r="G143" s="1" t="s">
        <v>11</v>
      </c>
      <c r="H143" s="1">
        <v>7</v>
      </c>
      <c r="I143" s="14">
        <v>75</v>
      </c>
      <c r="J143" s="13" t="s">
        <v>291</v>
      </c>
      <c r="K143" s="1">
        <v>0.2</v>
      </c>
      <c r="L143" s="1">
        <v>0</v>
      </c>
      <c r="M143" s="1">
        <v>0.16</v>
      </c>
      <c r="N143" s="1">
        <v>0.21</v>
      </c>
      <c r="O143" s="1" t="s">
        <v>11</v>
      </c>
      <c r="P143" s="1">
        <v>34702</v>
      </c>
      <c r="T143" s="1">
        <f t="shared" si="17"/>
        <v>0</v>
      </c>
      <c r="U143" s="1">
        <f t="shared" si="18"/>
        <v>0</v>
      </c>
      <c r="V143" s="1">
        <f t="shared" si="19"/>
        <v>559.30000000000007</v>
      </c>
      <c r="W143" s="1">
        <f t="shared" si="20"/>
        <v>6940.4000000000005</v>
      </c>
      <c r="X143" s="1">
        <f t="shared" si="21"/>
        <v>0</v>
      </c>
      <c r="Y143" s="1">
        <f t="shared" si="22"/>
        <v>0</v>
      </c>
      <c r="Z143" s="1">
        <f t="shared" si="23"/>
        <v>7</v>
      </c>
      <c r="AA143" s="1">
        <f t="shared" si="24"/>
        <v>34702</v>
      </c>
    </row>
    <row r="144" spans="2:27" x14ac:dyDescent="0.3">
      <c r="B144" s="12" t="s">
        <v>292</v>
      </c>
      <c r="C144" s="1">
        <v>85.97</v>
      </c>
      <c r="D144" s="1">
        <v>0</v>
      </c>
      <c r="E144" s="1">
        <v>95.56</v>
      </c>
      <c r="F144" s="1">
        <v>96.77</v>
      </c>
      <c r="G144" s="1" t="s">
        <v>11</v>
      </c>
      <c r="H144" s="1">
        <v>292</v>
      </c>
      <c r="I144" s="14">
        <v>80</v>
      </c>
      <c r="J144" s="13" t="s">
        <v>293</v>
      </c>
      <c r="K144" s="1">
        <v>0.25</v>
      </c>
      <c r="L144" s="1">
        <v>0.02</v>
      </c>
      <c r="M144" s="1">
        <v>0.21</v>
      </c>
      <c r="N144" s="1">
        <v>0.28000000000000003</v>
      </c>
      <c r="O144" s="1">
        <v>40</v>
      </c>
      <c r="P144" s="1">
        <v>8918</v>
      </c>
      <c r="T144" s="1">
        <f t="shared" si="17"/>
        <v>0</v>
      </c>
      <c r="U144" s="1">
        <f t="shared" si="18"/>
        <v>11.200000000000001</v>
      </c>
      <c r="V144" s="1">
        <f t="shared" si="19"/>
        <v>25103.239999999998</v>
      </c>
      <c r="W144" s="1">
        <f t="shared" si="20"/>
        <v>2229.5</v>
      </c>
      <c r="X144" s="1">
        <f t="shared" si="21"/>
        <v>0</v>
      </c>
      <c r="Y144" s="1">
        <f t="shared" si="22"/>
        <v>40</v>
      </c>
      <c r="Z144" s="1">
        <f t="shared" si="23"/>
        <v>292</v>
      </c>
      <c r="AA144" s="1">
        <f t="shared" si="24"/>
        <v>8918</v>
      </c>
    </row>
    <row r="145" spans="2:27" x14ac:dyDescent="0.3">
      <c r="B145" s="12" t="s">
        <v>294</v>
      </c>
      <c r="C145" s="1">
        <v>83.86</v>
      </c>
      <c r="D145" s="1">
        <v>0</v>
      </c>
      <c r="E145" s="1">
        <v>90.58</v>
      </c>
      <c r="F145" s="1">
        <v>91.79</v>
      </c>
      <c r="G145" s="1" t="s">
        <v>11</v>
      </c>
      <c r="H145" s="1">
        <v>4</v>
      </c>
      <c r="I145" s="14">
        <v>85</v>
      </c>
      <c r="J145" s="13" t="s">
        <v>295</v>
      </c>
      <c r="K145" s="1">
        <v>0.33</v>
      </c>
      <c r="L145" s="1">
        <v>-0.03</v>
      </c>
      <c r="M145" s="1">
        <v>0.28000000000000003</v>
      </c>
      <c r="N145" s="1">
        <v>0.35</v>
      </c>
      <c r="O145" s="1">
        <v>1</v>
      </c>
      <c r="P145" s="1">
        <v>5746</v>
      </c>
      <c r="T145" s="1">
        <f t="shared" si="17"/>
        <v>0</v>
      </c>
      <c r="U145" s="1">
        <f t="shared" si="18"/>
        <v>0.35</v>
      </c>
      <c r="V145" s="1">
        <f t="shared" si="19"/>
        <v>335.44</v>
      </c>
      <c r="W145" s="1">
        <f t="shared" si="20"/>
        <v>1896.18</v>
      </c>
      <c r="X145" s="1">
        <f t="shared" si="21"/>
        <v>0</v>
      </c>
      <c r="Y145" s="1">
        <f t="shared" si="22"/>
        <v>1</v>
      </c>
      <c r="Z145" s="1">
        <f t="shared" si="23"/>
        <v>4</v>
      </c>
      <c r="AA145" s="1">
        <f t="shared" si="24"/>
        <v>5746</v>
      </c>
    </row>
    <row r="146" spans="2:27" x14ac:dyDescent="0.3">
      <c r="B146" s="12" t="s">
        <v>296</v>
      </c>
      <c r="C146" s="1">
        <v>84.28</v>
      </c>
      <c r="D146" s="1">
        <v>0</v>
      </c>
      <c r="E146" s="1">
        <v>85.59</v>
      </c>
      <c r="F146" s="1">
        <v>86.8</v>
      </c>
      <c r="G146" s="1" t="s">
        <v>11</v>
      </c>
      <c r="H146" s="1">
        <v>122</v>
      </c>
      <c r="I146" s="14">
        <v>90</v>
      </c>
      <c r="J146" s="13" t="s">
        <v>297</v>
      </c>
      <c r="K146" s="1">
        <v>0.41</v>
      </c>
      <c r="L146" s="1">
        <v>0</v>
      </c>
      <c r="M146" s="1">
        <v>0.36</v>
      </c>
      <c r="N146" s="1">
        <v>0.44</v>
      </c>
      <c r="O146" s="1">
        <v>20</v>
      </c>
      <c r="P146" s="1">
        <v>13161</v>
      </c>
      <c r="T146" s="1">
        <f t="shared" si="17"/>
        <v>0</v>
      </c>
      <c r="U146" s="1">
        <f t="shared" si="18"/>
        <v>8.8000000000000007</v>
      </c>
      <c r="V146" s="1">
        <f t="shared" si="19"/>
        <v>10282.16</v>
      </c>
      <c r="W146" s="1">
        <f t="shared" si="20"/>
        <v>5396.0099999999993</v>
      </c>
      <c r="X146" s="1">
        <f t="shared" si="21"/>
        <v>0</v>
      </c>
      <c r="Y146" s="1">
        <f t="shared" si="22"/>
        <v>20</v>
      </c>
      <c r="Z146" s="1">
        <f t="shared" si="23"/>
        <v>122</v>
      </c>
      <c r="AA146" s="1">
        <f t="shared" si="24"/>
        <v>13161</v>
      </c>
    </row>
    <row r="147" spans="2:27" x14ac:dyDescent="0.3">
      <c r="B147" s="12" t="s">
        <v>298</v>
      </c>
      <c r="C147" s="1">
        <v>77.7</v>
      </c>
      <c r="D147" s="1">
        <v>0</v>
      </c>
      <c r="E147" s="1">
        <v>80.599999999999994</v>
      </c>
      <c r="F147" s="1">
        <v>81.81</v>
      </c>
      <c r="G147" s="1" t="s">
        <v>11</v>
      </c>
      <c r="H147" s="1">
        <v>250</v>
      </c>
      <c r="I147" s="14">
        <v>95</v>
      </c>
      <c r="J147" s="13" t="s">
        <v>299</v>
      </c>
      <c r="K147" s="1">
        <v>0.48</v>
      </c>
      <c r="L147" s="1">
        <v>0</v>
      </c>
      <c r="M147" s="1">
        <v>0.44</v>
      </c>
      <c r="N147" s="1">
        <v>0.54</v>
      </c>
      <c r="O147" s="1" t="s">
        <v>11</v>
      </c>
      <c r="P147" s="1">
        <v>7761</v>
      </c>
      <c r="T147" s="1">
        <f t="shared" si="17"/>
        <v>0</v>
      </c>
      <c r="U147" s="1">
        <f t="shared" si="18"/>
        <v>0</v>
      </c>
      <c r="V147" s="1">
        <f t="shared" si="19"/>
        <v>19425</v>
      </c>
      <c r="W147" s="1">
        <f t="shared" si="20"/>
        <v>3725.2799999999997</v>
      </c>
      <c r="X147" s="1">
        <f t="shared" si="21"/>
        <v>0</v>
      </c>
      <c r="Y147" s="1">
        <f t="shared" si="22"/>
        <v>0</v>
      </c>
      <c r="Z147" s="1">
        <f t="shared" si="23"/>
        <v>250</v>
      </c>
      <c r="AA147" s="1">
        <f t="shared" si="24"/>
        <v>7761</v>
      </c>
    </row>
    <row r="148" spans="2:27" x14ac:dyDescent="0.3">
      <c r="B148" s="12" t="s">
        <v>300</v>
      </c>
      <c r="C148" s="1">
        <v>70.91</v>
      </c>
      <c r="D148" s="1">
        <v>0</v>
      </c>
      <c r="E148" s="1">
        <v>75.599999999999994</v>
      </c>
      <c r="F148" s="1">
        <v>76.81</v>
      </c>
      <c r="G148" s="1" t="s">
        <v>11</v>
      </c>
      <c r="H148" s="1">
        <v>423</v>
      </c>
      <c r="I148" s="14">
        <v>100</v>
      </c>
      <c r="J148" s="13" t="s">
        <v>301</v>
      </c>
      <c r="K148" s="1">
        <v>0.57999999999999996</v>
      </c>
      <c r="L148" s="1">
        <v>-0.02</v>
      </c>
      <c r="M148" s="1">
        <v>0.56999999999999995</v>
      </c>
      <c r="N148" s="1">
        <v>0.68</v>
      </c>
      <c r="O148" s="1">
        <v>5</v>
      </c>
      <c r="P148" s="1">
        <v>25644</v>
      </c>
      <c r="T148" s="1">
        <f t="shared" si="17"/>
        <v>0</v>
      </c>
      <c r="U148" s="1">
        <f t="shared" si="18"/>
        <v>3.4000000000000004</v>
      </c>
      <c r="V148" s="1">
        <f t="shared" si="19"/>
        <v>29994.93</v>
      </c>
      <c r="W148" s="1">
        <f t="shared" si="20"/>
        <v>14873.519999999999</v>
      </c>
      <c r="X148" s="1">
        <f t="shared" si="21"/>
        <v>0</v>
      </c>
      <c r="Y148" s="1">
        <f t="shared" si="22"/>
        <v>5</v>
      </c>
      <c r="Z148" s="1">
        <f t="shared" si="23"/>
        <v>423</v>
      </c>
      <c r="AA148" s="1">
        <f t="shared" si="24"/>
        <v>25644</v>
      </c>
    </row>
    <row r="149" spans="2:27" x14ac:dyDescent="0.3">
      <c r="B149" s="12" t="s">
        <v>302</v>
      </c>
      <c r="C149" s="1">
        <v>67.900000000000006</v>
      </c>
      <c r="D149" s="1">
        <v>0</v>
      </c>
      <c r="E149" s="1">
        <v>70.61</v>
      </c>
      <c r="F149" s="1">
        <v>71.819999999999993</v>
      </c>
      <c r="G149" s="1" t="s">
        <v>11</v>
      </c>
      <c r="H149" s="1">
        <v>60</v>
      </c>
      <c r="I149" s="14">
        <v>105</v>
      </c>
      <c r="J149" s="13" t="s">
        <v>303</v>
      </c>
      <c r="K149" s="1">
        <v>0.76</v>
      </c>
      <c r="L149" s="1">
        <v>-0.01</v>
      </c>
      <c r="M149" s="1">
        <v>0.72</v>
      </c>
      <c r="N149" s="1">
        <v>0.85</v>
      </c>
      <c r="O149" s="1">
        <v>3</v>
      </c>
      <c r="P149" s="1">
        <v>7888</v>
      </c>
      <c r="T149" s="1">
        <f t="shared" si="17"/>
        <v>0</v>
      </c>
      <c r="U149" s="1">
        <f t="shared" si="18"/>
        <v>2.5499999999999998</v>
      </c>
      <c r="V149" s="1">
        <f t="shared" si="19"/>
        <v>4074.0000000000005</v>
      </c>
      <c r="W149" s="1">
        <f t="shared" si="20"/>
        <v>5994.88</v>
      </c>
      <c r="X149" s="1">
        <f t="shared" si="21"/>
        <v>0</v>
      </c>
      <c r="Y149" s="1">
        <f t="shared" si="22"/>
        <v>3</v>
      </c>
      <c r="Z149" s="1">
        <f t="shared" si="23"/>
        <v>60</v>
      </c>
      <c r="AA149" s="1">
        <f t="shared" si="24"/>
        <v>7888</v>
      </c>
    </row>
    <row r="150" spans="2:27" x14ac:dyDescent="0.3">
      <c r="B150" s="12" t="s">
        <v>304</v>
      </c>
      <c r="C150" s="1">
        <v>62.9</v>
      </c>
      <c r="D150" s="1">
        <v>0</v>
      </c>
      <c r="E150" s="1">
        <v>65.63</v>
      </c>
      <c r="F150" s="1">
        <v>66.84</v>
      </c>
      <c r="G150" s="1" t="s">
        <v>11</v>
      </c>
      <c r="H150" s="1">
        <v>47</v>
      </c>
      <c r="I150" s="14">
        <v>110</v>
      </c>
      <c r="J150" s="13" t="s">
        <v>305</v>
      </c>
      <c r="K150" s="1">
        <v>1</v>
      </c>
      <c r="L150" s="1">
        <v>0.05</v>
      </c>
      <c r="M150" s="1">
        <v>0.9</v>
      </c>
      <c r="N150" s="1">
        <v>1</v>
      </c>
      <c r="O150" s="1">
        <v>5</v>
      </c>
      <c r="P150" s="1">
        <v>44928</v>
      </c>
      <c r="T150" s="1">
        <f t="shared" si="17"/>
        <v>0</v>
      </c>
      <c r="U150" s="1">
        <f t="shared" si="18"/>
        <v>5</v>
      </c>
      <c r="V150" s="1">
        <f t="shared" si="19"/>
        <v>2956.2999999999997</v>
      </c>
      <c r="W150" s="1">
        <f t="shared" si="20"/>
        <v>44928</v>
      </c>
      <c r="X150" s="1">
        <f t="shared" si="21"/>
        <v>0</v>
      </c>
      <c r="Y150" s="1">
        <f t="shared" si="22"/>
        <v>5</v>
      </c>
      <c r="Z150" s="1">
        <f t="shared" si="23"/>
        <v>47</v>
      </c>
      <c r="AA150" s="1">
        <f t="shared" si="24"/>
        <v>44928</v>
      </c>
    </row>
    <row r="151" spans="2:27" x14ac:dyDescent="0.3">
      <c r="B151" s="12" t="s">
        <v>306</v>
      </c>
      <c r="C151" s="1">
        <v>55.94</v>
      </c>
      <c r="D151" s="1">
        <v>0</v>
      </c>
      <c r="E151" s="1">
        <v>60.66</v>
      </c>
      <c r="F151" s="1">
        <v>61.87</v>
      </c>
      <c r="G151" s="1" t="s">
        <v>11</v>
      </c>
      <c r="H151" s="1">
        <v>100</v>
      </c>
      <c r="I151" s="14">
        <v>115</v>
      </c>
      <c r="J151" s="13" t="s">
        <v>307</v>
      </c>
      <c r="K151" s="1">
        <v>1.25</v>
      </c>
      <c r="L151" s="1">
        <v>-0.49</v>
      </c>
      <c r="M151" s="1">
        <v>1.1599999999999999</v>
      </c>
      <c r="N151" s="1">
        <v>1.3</v>
      </c>
      <c r="O151" s="1">
        <v>1</v>
      </c>
      <c r="P151" s="1">
        <v>4293</v>
      </c>
      <c r="T151" s="1">
        <f t="shared" si="17"/>
        <v>0</v>
      </c>
      <c r="U151" s="1">
        <f t="shared" si="18"/>
        <v>1.3</v>
      </c>
      <c r="V151" s="1">
        <f t="shared" si="19"/>
        <v>5594</v>
      </c>
      <c r="W151" s="1">
        <f t="shared" si="20"/>
        <v>5366.25</v>
      </c>
      <c r="X151" s="1">
        <f t="shared" si="21"/>
        <v>0</v>
      </c>
      <c r="Y151" s="1">
        <f t="shared" si="22"/>
        <v>1</v>
      </c>
      <c r="Z151" s="1">
        <f t="shared" si="23"/>
        <v>100</v>
      </c>
      <c r="AA151" s="1">
        <f t="shared" si="24"/>
        <v>4293</v>
      </c>
    </row>
    <row r="152" spans="2:27" x14ac:dyDescent="0.3">
      <c r="B152" s="12" t="s">
        <v>308</v>
      </c>
      <c r="C152" s="1">
        <v>57.44</v>
      </c>
      <c r="D152" s="1">
        <v>0</v>
      </c>
      <c r="E152" s="1">
        <v>55.72</v>
      </c>
      <c r="F152" s="1">
        <v>56.93</v>
      </c>
      <c r="G152" s="1" t="s">
        <v>11</v>
      </c>
      <c r="H152" s="1">
        <v>175</v>
      </c>
      <c r="I152" s="1">
        <v>120</v>
      </c>
      <c r="J152" s="13" t="s">
        <v>309</v>
      </c>
      <c r="K152" s="1">
        <v>1.47</v>
      </c>
      <c r="L152" s="1">
        <v>0</v>
      </c>
      <c r="M152" s="1">
        <v>1.45</v>
      </c>
      <c r="N152" s="1">
        <v>1.55</v>
      </c>
      <c r="O152" s="1" t="s">
        <v>11</v>
      </c>
      <c r="P152" s="1">
        <v>15301</v>
      </c>
      <c r="T152" s="1">
        <f t="shared" si="17"/>
        <v>0</v>
      </c>
      <c r="U152" s="1">
        <f t="shared" si="18"/>
        <v>0</v>
      </c>
      <c r="V152" s="1">
        <f t="shared" si="19"/>
        <v>10052</v>
      </c>
      <c r="W152" s="1">
        <f t="shared" si="20"/>
        <v>22492.47</v>
      </c>
      <c r="X152" s="1">
        <f t="shared" si="21"/>
        <v>0</v>
      </c>
      <c r="Y152" s="1">
        <f t="shared" si="22"/>
        <v>0</v>
      </c>
      <c r="Z152" s="1">
        <f t="shared" si="23"/>
        <v>175</v>
      </c>
      <c r="AA152" s="1">
        <f t="shared" si="24"/>
        <v>15301</v>
      </c>
    </row>
    <row r="153" spans="2:27" x14ac:dyDescent="0.3">
      <c r="B153" s="12" t="s">
        <v>310</v>
      </c>
      <c r="C153" s="1">
        <v>50.51</v>
      </c>
      <c r="D153" s="1">
        <v>0</v>
      </c>
      <c r="E153" s="1">
        <v>50.83</v>
      </c>
      <c r="F153" s="1">
        <v>52.04</v>
      </c>
      <c r="G153" s="1" t="s">
        <v>11</v>
      </c>
      <c r="H153" s="1">
        <v>3876</v>
      </c>
      <c r="I153" s="1">
        <v>125</v>
      </c>
      <c r="J153" s="13" t="s">
        <v>311</v>
      </c>
      <c r="K153" s="1">
        <v>1.8</v>
      </c>
      <c r="L153" s="1">
        <v>0</v>
      </c>
      <c r="M153" s="1">
        <v>1.83</v>
      </c>
      <c r="N153" s="1">
        <v>1.97</v>
      </c>
      <c r="O153" s="1" t="s">
        <v>11</v>
      </c>
      <c r="P153" s="1">
        <v>10989</v>
      </c>
      <c r="T153" s="1">
        <f t="shared" si="17"/>
        <v>0</v>
      </c>
      <c r="U153" s="1">
        <f t="shared" si="18"/>
        <v>0</v>
      </c>
      <c r="V153" s="1">
        <f t="shared" si="19"/>
        <v>195776.75999999998</v>
      </c>
      <c r="W153" s="1">
        <f t="shared" si="20"/>
        <v>19780.2</v>
      </c>
      <c r="X153" s="1">
        <f t="shared" si="21"/>
        <v>0</v>
      </c>
      <c r="Y153" s="1">
        <f t="shared" si="22"/>
        <v>0</v>
      </c>
      <c r="Z153" s="1">
        <f t="shared" si="23"/>
        <v>3876</v>
      </c>
      <c r="AA153" s="1">
        <f t="shared" si="24"/>
        <v>10989</v>
      </c>
    </row>
    <row r="154" spans="2:27" x14ac:dyDescent="0.3">
      <c r="B154" s="12" t="s">
        <v>312</v>
      </c>
      <c r="C154" s="1">
        <v>46.48</v>
      </c>
      <c r="D154" s="1">
        <v>0</v>
      </c>
      <c r="E154" s="1">
        <v>46.02</v>
      </c>
      <c r="F154" s="1">
        <v>47.23</v>
      </c>
      <c r="G154" s="1" t="s">
        <v>11</v>
      </c>
      <c r="H154" s="1">
        <v>4437</v>
      </c>
      <c r="I154" s="1">
        <v>130</v>
      </c>
      <c r="J154" s="13" t="s">
        <v>313</v>
      </c>
      <c r="K154" s="1">
        <v>2.25</v>
      </c>
      <c r="L154" s="1">
        <v>0.04</v>
      </c>
      <c r="M154" s="1">
        <v>2.25</v>
      </c>
      <c r="N154" s="1">
        <v>2.42</v>
      </c>
      <c r="O154" s="1">
        <v>4</v>
      </c>
      <c r="P154" s="1">
        <v>9032</v>
      </c>
      <c r="T154" s="1">
        <f t="shared" si="17"/>
        <v>0</v>
      </c>
      <c r="U154" s="1">
        <f t="shared" si="18"/>
        <v>9.68</v>
      </c>
      <c r="V154" s="1">
        <f t="shared" si="19"/>
        <v>206231.75999999998</v>
      </c>
      <c r="W154" s="1">
        <f t="shared" si="20"/>
        <v>20322</v>
      </c>
      <c r="X154" s="1">
        <f t="shared" si="21"/>
        <v>0</v>
      </c>
      <c r="Y154" s="1">
        <f t="shared" si="22"/>
        <v>4</v>
      </c>
      <c r="Z154" s="1">
        <f t="shared" si="23"/>
        <v>4437</v>
      </c>
      <c r="AA154" s="1">
        <f t="shared" si="24"/>
        <v>9032</v>
      </c>
    </row>
    <row r="155" spans="2:27" x14ac:dyDescent="0.3">
      <c r="B155" s="12" t="s">
        <v>314</v>
      </c>
      <c r="C155" s="1">
        <v>42.01</v>
      </c>
      <c r="D155" s="1">
        <v>-0.18</v>
      </c>
      <c r="E155" s="1">
        <v>41.31</v>
      </c>
      <c r="F155" s="1">
        <v>42.52</v>
      </c>
      <c r="G155" s="1">
        <v>1</v>
      </c>
      <c r="H155" s="1">
        <v>10449</v>
      </c>
      <c r="I155" s="1">
        <v>135</v>
      </c>
      <c r="J155" s="13" t="s">
        <v>315</v>
      </c>
      <c r="K155" s="1">
        <v>2.84</v>
      </c>
      <c r="L155" s="1">
        <v>0.09</v>
      </c>
      <c r="M155" s="1">
        <v>2.75</v>
      </c>
      <c r="N155" s="1">
        <v>2.96</v>
      </c>
      <c r="O155" s="1">
        <v>17</v>
      </c>
      <c r="P155" s="1">
        <v>12075</v>
      </c>
      <c r="T155" s="1">
        <f t="shared" si="17"/>
        <v>42.52</v>
      </c>
      <c r="U155" s="1">
        <f t="shared" si="18"/>
        <v>50.32</v>
      </c>
      <c r="V155" s="1">
        <f t="shared" si="19"/>
        <v>438962.49</v>
      </c>
      <c r="W155" s="1">
        <f t="shared" si="20"/>
        <v>34293</v>
      </c>
      <c r="X155" s="1">
        <f t="shared" si="21"/>
        <v>1</v>
      </c>
      <c r="Y155" s="1">
        <f t="shared" si="22"/>
        <v>17</v>
      </c>
      <c r="Z155" s="1">
        <f t="shared" si="23"/>
        <v>10449</v>
      </c>
      <c r="AA155" s="1">
        <f t="shared" si="24"/>
        <v>12075</v>
      </c>
    </row>
    <row r="156" spans="2:27" x14ac:dyDescent="0.3">
      <c r="B156" s="12" t="s">
        <v>316</v>
      </c>
      <c r="C156" s="1">
        <v>37.21</v>
      </c>
      <c r="D156" s="1">
        <v>0</v>
      </c>
      <c r="E156" s="1">
        <v>36.729999999999997</v>
      </c>
      <c r="F156" s="1">
        <v>37.94</v>
      </c>
      <c r="G156" s="1" t="s">
        <v>11</v>
      </c>
      <c r="H156" s="1">
        <v>14648</v>
      </c>
      <c r="I156" s="1">
        <v>140</v>
      </c>
      <c r="J156" s="13" t="s">
        <v>317</v>
      </c>
      <c r="K156" s="1">
        <v>3.49</v>
      </c>
      <c r="L156" s="1">
        <v>0.08</v>
      </c>
      <c r="M156" s="1">
        <v>3.41</v>
      </c>
      <c r="N156" s="1">
        <v>3.61</v>
      </c>
      <c r="O156" s="1">
        <v>26</v>
      </c>
      <c r="P156" s="1">
        <v>16112</v>
      </c>
      <c r="T156" s="1">
        <f t="shared" si="17"/>
        <v>0</v>
      </c>
      <c r="U156" s="1">
        <f t="shared" si="18"/>
        <v>93.86</v>
      </c>
      <c r="V156" s="1">
        <f t="shared" si="19"/>
        <v>545052.07999999996</v>
      </c>
      <c r="W156" s="1">
        <f t="shared" si="20"/>
        <v>56230.880000000005</v>
      </c>
      <c r="X156" s="1">
        <f t="shared" si="21"/>
        <v>0</v>
      </c>
      <c r="Y156" s="1">
        <f t="shared" si="22"/>
        <v>26</v>
      </c>
      <c r="Z156" s="1">
        <f t="shared" si="23"/>
        <v>14648</v>
      </c>
      <c r="AA156" s="1">
        <f t="shared" si="24"/>
        <v>16112</v>
      </c>
    </row>
    <row r="157" spans="2:27" x14ac:dyDescent="0.3">
      <c r="B157" s="12" t="s">
        <v>318</v>
      </c>
      <c r="C157" s="1">
        <v>32.74</v>
      </c>
      <c r="D157" s="1">
        <v>0</v>
      </c>
      <c r="E157" s="1">
        <v>32.29</v>
      </c>
      <c r="F157" s="1">
        <v>33.5</v>
      </c>
      <c r="G157" s="1" t="s">
        <v>11</v>
      </c>
      <c r="H157" s="1">
        <v>6616</v>
      </c>
      <c r="I157" s="1">
        <v>145</v>
      </c>
      <c r="J157" s="13" t="s">
        <v>319</v>
      </c>
      <c r="K157" s="1">
        <v>4.2300000000000004</v>
      </c>
      <c r="L157" s="1">
        <v>0.05</v>
      </c>
      <c r="M157" s="1">
        <v>4.16</v>
      </c>
      <c r="N157" s="1">
        <v>4.3899999999999997</v>
      </c>
      <c r="O157" s="1">
        <v>78</v>
      </c>
      <c r="P157" s="1">
        <v>15500</v>
      </c>
      <c r="T157" s="1">
        <f t="shared" si="17"/>
        <v>0</v>
      </c>
      <c r="U157" s="1">
        <f t="shared" si="18"/>
        <v>342.41999999999996</v>
      </c>
      <c r="V157" s="1">
        <f t="shared" si="19"/>
        <v>216607.84000000003</v>
      </c>
      <c r="W157" s="1">
        <f t="shared" si="20"/>
        <v>65565</v>
      </c>
      <c r="X157" s="1">
        <f t="shared" si="21"/>
        <v>0</v>
      </c>
      <c r="Y157" s="1">
        <f t="shared" si="22"/>
        <v>78</v>
      </c>
      <c r="Z157" s="1">
        <f t="shared" si="23"/>
        <v>6616</v>
      </c>
      <c r="AA157" s="1">
        <f t="shared" si="24"/>
        <v>15500</v>
      </c>
    </row>
    <row r="158" spans="2:27" x14ac:dyDescent="0.3">
      <c r="B158" s="12" t="s">
        <v>320</v>
      </c>
      <c r="C158" s="1">
        <v>29.46</v>
      </c>
      <c r="D158" s="1">
        <v>0</v>
      </c>
      <c r="E158" s="1">
        <v>28.04</v>
      </c>
      <c r="F158" s="1">
        <v>29.25</v>
      </c>
      <c r="G158" s="1" t="s">
        <v>11</v>
      </c>
      <c r="H158" s="1">
        <v>10495</v>
      </c>
      <c r="I158" s="1">
        <v>150</v>
      </c>
      <c r="J158" s="13" t="s">
        <v>321</v>
      </c>
      <c r="K158" s="1">
        <v>5.14</v>
      </c>
      <c r="L158" s="1">
        <v>0.13</v>
      </c>
      <c r="M158" s="1">
        <v>5.0999999999999996</v>
      </c>
      <c r="N158" s="1">
        <v>5.32</v>
      </c>
      <c r="O158" s="1">
        <v>11</v>
      </c>
      <c r="P158" s="1">
        <v>21691</v>
      </c>
      <c r="T158" s="1">
        <f t="shared" si="17"/>
        <v>0</v>
      </c>
      <c r="U158" s="1">
        <f t="shared" si="18"/>
        <v>58.52</v>
      </c>
      <c r="V158" s="1">
        <f t="shared" si="19"/>
        <v>309182.7</v>
      </c>
      <c r="W158" s="1">
        <f t="shared" si="20"/>
        <v>111491.73999999999</v>
      </c>
      <c r="X158" s="1">
        <f t="shared" si="21"/>
        <v>0</v>
      </c>
      <c r="Y158" s="1">
        <f t="shared" si="22"/>
        <v>11</v>
      </c>
      <c r="Z158" s="1">
        <f t="shared" si="23"/>
        <v>10495</v>
      </c>
      <c r="AA158" s="1">
        <f t="shared" si="24"/>
        <v>21691</v>
      </c>
    </row>
    <row r="159" spans="2:27" x14ac:dyDescent="0.3">
      <c r="B159" s="12" t="s">
        <v>322</v>
      </c>
      <c r="C159" s="1">
        <v>24.16</v>
      </c>
      <c r="D159" s="1">
        <v>-0.76</v>
      </c>
      <c r="E159" s="1">
        <v>23.99</v>
      </c>
      <c r="F159" s="1">
        <v>25.2</v>
      </c>
      <c r="G159" s="1">
        <v>10</v>
      </c>
      <c r="H159" s="1">
        <v>5922</v>
      </c>
      <c r="I159" s="1">
        <v>155</v>
      </c>
      <c r="J159" s="13" t="s">
        <v>323</v>
      </c>
      <c r="K159" s="1">
        <v>6.25</v>
      </c>
      <c r="L159" s="1">
        <v>-0.11</v>
      </c>
      <c r="M159" s="1">
        <v>6.17</v>
      </c>
      <c r="N159" s="1">
        <v>6.42</v>
      </c>
      <c r="O159" s="1">
        <v>6</v>
      </c>
      <c r="P159" s="1">
        <v>20395</v>
      </c>
      <c r="T159" s="1">
        <f t="shared" si="17"/>
        <v>252</v>
      </c>
      <c r="U159" s="1">
        <f t="shared" si="18"/>
        <v>38.519999999999996</v>
      </c>
      <c r="V159" s="1">
        <f t="shared" si="19"/>
        <v>143075.51999999999</v>
      </c>
      <c r="W159" s="1">
        <f t="shared" si="20"/>
        <v>127468.75</v>
      </c>
      <c r="X159" s="1">
        <f t="shared" si="21"/>
        <v>10</v>
      </c>
      <c r="Y159" s="1">
        <f t="shared" si="22"/>
        <v>6</v>
      </c>
      <c r="Z159" s="1">
        <f t="shared" si="23"/>
        <v>5922</v>
      </c>
      <c r="AA159" s="1">
        <f t="shared" si="24"/>
        <v>20395</v>
      </c>
    </row>
    <row r="160" spans="2:27" x14ac:dyDescent="0.3">
      <c r="B160" s="12" t="s">
        <v>324</v>
      </c>
      <c r="C160" s="1">
        <v>20.8</v>
      </c>
      <c r="D160" s="1">
        <v>0</v>
      </c>
      <c r="E160" s="1">
        <v>20.149999999999999</v>
      </c>
      <c r="F160" s="1">
        <v>21.36</v>
      </c>
      <c r="G160" s="1" t="s">
        <v>11</v>
      </c>
      <c r="H160" s="1">
        <v>17825</v>
      </c>
      <c r="I160" s="1">
        <v>160</v>
      </c>
      <c r="J160" s="13" t="s">
        <v>325</v>
      </c>
      <c r="K160" s="1">
        <v>7.5</v>
      </c>
      <c r="L160" s="1">
        <v>0.04</v>
      </c>
      <c r="M160" s="1">
        <v>7.54</v>
      </c>
      <c r="N160" s="1">
        <v>7.73</v>
      </c>
      <c r="O160" s="1">
        <v>13</v>
      </c>
      <c r="P160" s="1">
        <v>13231</v>
      </c>
      <c r="T160" s="1">
        <f t="shared" si="17"/>
        <v>0</v>
      </c>
      <c r="U160" s="1">
        <f t="shared" si="18"/>
        <v>100.49000000000001</v>
      </c>
      <c r="V160" s="1">
        <f t="shared" si="19"/>
        <v>370760</v>
      </c>
      <c r="W160" s="1">
        <f t="shared" si="20"/>
        <v>99232.5</v>
      </c>
      <c r="X160" s="1">
        <f t="shared" si="21"/>
        <v>0</v>
      </c>
      <c r="Y160" s="1">
        <f t="shared" si="22"/>
        <v>13</v>
      </c>
      <c r="Z160" s="1">
        <f t="shared" si="23"/>
        <v>17825</v>
      </c>
      <c r="AA160" s="1">
        <f t="shared" si="24"/>
        <v>13231</v>
      </c>
    </row>
    <row r="161" spans="2:27" x14ac:dyDescent="0.3">
      <c r="B161" s="12" t="s">
        <v>326</v>
      </c>
      <c r="C161" s="1">
        <v>17.29</v>
      </c>
      <c r="D161" s="1">
        <v>-0.28000000000000003</v>
      </c>
      <c r="E161" s="1">
        <v>16.59</v>
      </c>
      <c r="F161" s="1">
        <v>17.8</v>
      </c>
      <c r="G161" s="1">
        <v>10</v>
      </c>
      <c r="H161" s="1">
        <v>25533</v>
      </c>
      <c r="I161" s="1">
        <v>165</v>
      </c>
      <c r="J161" s="13" t="s">
        <v>327</v>
      </c>
      <c r="K161" s="1">
        <v>9.3699999999999992</v>
      </c>
      <c r="L161" s="1">
        <v>0.14000000000000001</v>
      </c>
      <c r="M161" s="1">
        <v>9.08</v>
      </c>
      <c r="N161" s="1">
        <v>9.3000000000000007</v>
      </c>
      <c r="O161" s="1">
        <v>65</v>
      </c>
      <c r="P161" s="1">
        <v>16855</v>
      </c>
      <c r="T161" s="1">
        <f t="shared" si="17"/>
        <v>178</v>
      </c>
      <c r="U161" s="1">
        <f t="shared" si="18"/>
        <v>604.5</v>
      </c>
      <c r="V161" s="1">
        <f t="shared" si="19"/>
        <v>441465.57</v>
      </c>
      <c r="W161" s="1">
        <f t="shared" si="20"/>
        <v>157931.34999999998</v>
      </c>
      <c r="X161" s="1">
        <f t="shared" si="21"/>
        <v>10</v>
      </c>
      <c r="Y161" s="1">
        <f t="shared" si="22"/>
        <v>65</v>
      </c>
      <c r="Z161" s="1">
        <f t="shared" si="23"/>
        <v>25533</v>
      </c>
      <c r="AA161" s="1">
        <f t="shared" si="24"/>
        <v>16855</v>
      </c>
    </row>
    <row r="162" spans="2:27" x14ac:dyDescent="0.3">
      <c r="B162" s="12" t="s">
        <v>328</v>
      </c>
      <c r="C162" s="1">
        <v>13.96</v>
      </c>
      <c r="D162" s="1">
        <v>0</v>
      </c>
      <c r="E162" s="1">
        <v>13.72</v>
      </c>
      <c r="F162" s="1">
        <v>13.97</v>
      </c>
      <c r="G162" s="1">
        <v>10</v>
      </c>
      <c r="H162" s="1">
        <v>16276</v>
      </c>
      <c r="I162" s="1">
        <v>170</v>
      </c>
      <c r="J162" s="13" t="s">
        <v>329</v>
      </c>
      <c r="K162" s="1">
        <v>11.18</v>
      </c>
      <c r="L162" s="1">
        <v>0.39</v>
      </c>
      <c r="M162" s="1">
        <v>10.93</v>
      </c>
      <c r="N162" s="1">
        <v>11.14</v>
      </c>
      <c r="O162" s="1">
        <v>180</v>
      </c>
      <c r="P162" s="1">
        <v>6769</v>
      </c>
      <c r="T162" s="1">
        <f t="shared" si="17"/>
        <v>139.70000000000002</v>
      </c>
      <c r="U162" s="1">
        <f t="shared" si="18"/>
        <v>2005.2</v>
      </c>
      <c r="V162" s="1">
        <f t="shared" si="19"/>
        <v>227212.96000000002</v>
      </c>
      <c r="W162" s="1">
        <f t="shared" si="20"/>
        <v>75677.42</v>
      </c>
      <c r="X162" s="1">
        <f t="shared" si="21"/>
        <v>10</v>
      </c>
      <c r="Y162" s="1">
        <f t="shared" si="22"/>
        <v>180</v>
      </c>
      <c r="Z162" s="1">
        <f t="shared" si="23"/>
        <v>16276</v>
      </c>
      <c r="AA162" s="1">
        <f t="shared" si="24"/>
        <v>6769</v>
      </c>
    </row>
    <row r="163" spans="2:27" x14ac:dyDescent="0.3">
      <c r="B163" s="12" t="s">
        <v>330</v>
      </c>
      <c r="C163" s="1">
        <v>10.64</v>
      </c>
      <c r="D163" s="1">
        <v>-0.36</v>
      </c>
      <c r="E163" s="1">
        <v>10.81</v>
      </c>
      <c r="F163" s="1">
        <v>11.05</v>
      </c>
      <c r="G163" s="1">
        <v>25</v>
      </c>
      <c r="H163" s="1">
        <v>8702</v>
      </c>
      <c r="I163" s="1">
        <v>175</v>
      </c>
      <c r="J163" s="13" t="s">
        <v>331</v>
      </c>
      <c r="K163" s="1">
        <v>13</v>
      </c>
      <c r="L163" s="1">
        <v>-0.14000000000000001</v>
      </c>
      <c r="M163" s="1">
        <v>13.05</v>
      </c>
      <c r="N163" s="1">
        <v>13.31</v>
      </c>
      <c r="O163" s="1">
        <v>2145</v>
      </c>
      <c r="P163" s="1">
        <v>5236</v>
      </c>
      <c r="T163" s="1">
        <f t="shared" si="17"/>
        <v>276.25</v>
      </c>
      <c r="U163" s="1">
        <f t="shared" si="18"/>
        <v>28549.95</v>
      </c>
      <c r="V163" s="1">
        <f t="shared" si="19"/>
        <v>92589.28</v>
      </c>
      <c r="W163" s="1">
        <f t="shared" si="20"/>
        <v>68068</v>
      </c>
      <c r="X163" s="1">
        <f t="shared" si="21"/>
        <v>25</v>
      </c>
      <c r="Y163" s="1">
        <f t="shared" si="22"/>
        <v>2145</v>
      </c>
      <c r="Z163" s="1">
        <f t="shared" si="23"/>
        <v>8702</v>
      </c>
      <c r="AA163" s="1">
        <f t="shared" si="24"/>
        <v>5236</v>
      </c>
    </row>
    <row r="164" spans="2:27" x14ac:dyDescent="0.3">
      <c r="B164" s="12" t="s">
        <v>332</v>
      </c>
      <c r="C164" s="1">
        <v>8.36</v>
      </c>
      <c r="D164" s="1">
        <v>-0.64</v>
      </c>
      <c r="E164" s="1">
        <v>8.25</v>
      </c>
      <c r="F164" s="1">
        <v>8.4700000000000006</v>
      </c>
      <c r="G164" s="1">
        <v>266</v>
      </c>
      <c r="H164" s="1">
        <v>9919</v>
      </c>
      <c r="I164" s="1">
        <v>180</v>
      </c>
      <c r="J164" s="13" t="s">
        <v>333</v>
      </c>
      <c r="K164" s="1">
        <v>15.98</v>
      </c>
      <c r="L164" s="1">
        <v>0.48</v>
      </c>
      <c r="M164" s="1">
        <v>15.51</v>
      </c>
      <c r="N164" s="1">
        <v>15.81</v>
      </c>
      <c r="O164" s="1">
        <v>7</v>
      </c>
      <c r="P164" s="1">
        <v>1209</v>
      </c>
      <c r="T164" s="1">
        <f t="shared" si="17"/>
        <v>2253.02</v>
      </c>
      <c r="U164" s="1">
        <f t="shared" si="18"/>
        <v>110.67</v>
      </c>
      <c r="V164" s="1">
        <f t="shared" si="19"/>
        <v>82922.84</v>
      </c>
      <c r="W164" s="1">
        <f t="shared" si="20"/>
        <v>19319.82</v>
      </c>
      <c r="X164" s="1">
        <f t="shared" si="21"/>
        <v>266</v>
      </c>
      <c r="Y164" s="1">
        <f t="shared" si="22"/>
        <v>7</v>
      </c>
      <c r="Z164" s="1">
        <f t="shared" si="23"/>
        <v>9919</v>
      </c>
      <c r="AA164" s="1">
        <f t="shared" si="24"/>
        <v>1209</v>
      </c>
    </row>
    <row r="165" spans="2:27" x14ac:dyDescent="0.3">
      <c r="B165" s="12" t="s">
        <v>334</v>
      </c>
      <c r="C165" s="1">
        <v>6.11</v>
      </c>
      <c r="D165" s="1">
        <v>0.09</v>
      </c>
      <c r="E165" s="1">
        <v>6.05</v>
      </c>
      <c r="F165" s="1">
        <v>6.29</v>
      </c>
      <c r="G165" s="1">
        <v>22</v>
      </c>
      <c r="H165" s="1">
        <v>5443</v>
      </c>
      <c r="I165" s="1">
        <v>185</v>
      </c>
      <c r="J165" s="13" t="s">
        <v>335</v>
      </c>
      <c r="K165" s="1">
        <v>17.75</v>
      </c>
      <c r="L165" s="1">
        <v>0</v>
      </c>
      <c r="M165" s="1">
        <v>17.899999999999999</v>
      </c>
      <c r="N165" s="1">
        <v>19.11</v>
      </c>
      <c r="O165" s="1" t="s">
        <v>11</v>
      </c>
      <c r="P165" s="1">
        <v>421</v>
      </c>
      <c r="T165" s="1">
        <f t="shared" si="17"/>
        <v>138.38</v>
      </c>
      <c r="U165" s="1">
        <f t="shared" si="18"/>
        <v>0</v>
      </c>
      <c r="V165" s="1">
        <f t="shared" si="19"/>
        <v>33256.730000000003</v>
      </c>
      <c r="W165" s="1">
        <f t="shared" si="20"/>
        <v>7472.75</v>
      </c>
      <c r="X165" s="1">
        <f t="shared" si="21"/>
        <v>22</v>
      </c>
      <c r="Y165" s="1">
        <f t="shared" si="22"/>
        <v>0</v>
      </c>
      <c r="Z165" s="1">
        <f t="shared" si="23"/>
        <v>5443</v>
      </c>
      <c r="AA165" s="1">
        <f t="shared" si="24"/>
        <v>421</v>
      </c>
    </row>
    <row r="166" spans="2:27" x14ac:dyDescent="0.3">
      <c r="B166" s="12" t="s">
        <v>336</v>
      </c>
      <c r="C166" s="1">
        <v>4.1900000000000004</v>
      </c>
      <c r="D166" s="1">
        <v>-0.06</v>
      </c>
      <c r="E166" s="1">
        <v>4.2699999999999996</v>
      </c>
      <c r="F166" s="1">
        <v>4.38</v>
      </c>
      <c r="G166" s="1">
        <v>36</v>
      </c>
      <c r="H166" s="1">
        <v>9016</v>
      </c>
      <c r="I166" s="1">
        <v>190</v>
      </c>
      <c r="J166" s="13" t="s">
        <v>337</v>
      </c>
      <c r="K166" s="1">
        <v>22.09</v>
      </c>
      <c r="L166" s="1">
        <v>1.25</v>
      </c>
      <c r="M166" s="1">
        <v>21.18</v>
      </c>
      <c r="N166" s="1">
        <v>22.39</v>
      </c>
      <c r="O166" s="1">
        <v>7</v>
      </c>
      <c r="P166" s="1">
        <v>145</v>
      </c>
      <c r="T166" s="1">
        <f t="shared" si="17"/>
        <v>157.68</v>
      </c>
      <c r="U166" s="1">
        <f t="shared" si="18"/>
        <v>156.73000000000002</v>
      </c>
      <c r="V166" s="1">
        <f t="shared" si="19"/>
        <v>37777.040000000001</v>
      </c>
      <c r="W166" s="1">
        <f t="shared" si="20"/>
        <v>3203.05</v>
      </c>
      <c r="X166" s="1">
        <f t="shared" si="21"/>
        <v>36</v>
      </c>
      <c r="Y166" s="1">
        <f t="shared" si="22"/>
        <v>7</v>
      </c>
      <c r="Z166" s="1">
        <f t="shared" si="23"/>
        <v>9016</v>
      </c>
      <c r="AA166" s="1">
        <f t="shared" si="24"/>
        <v>145</v>
      </c>
    </row>
    <row r="167" spans="2:27" x14ac:dyDescent="0.3">
      <c r="B167" s="12" t="s">
        <v>338</v>
      </c>
      <c r="C167" s="1">
        <v>2.81</v>
      </c>
      <c r="D167" s="1">
        <v>-0.23</v>
      </c>
      <c r="E167" s="1">
        <v>2.87</v>
      </c>
      <c r="F167" s="1">
        <v>3.05</v>
      </c>
      <c r="G167" s="1">
        <v>50</v>
      </c>
      <c r="H167" s="1">
        <v>9796</v>
      </c>
      <c r="I167" s="1">
        <v>195</v>
      </c>
      <c r="J167" s="13" t="s">
        <v>339</v>
      </c>
      <c r="K167" s="1">
        <v>25.25</v>
      </c>
      <c r="L167" s="1">
        <v>0.22</v>
      </c>
      <c r="M167" s="1">
        <v>24.85</v>
      </c>
      <c r="N167" s="1">
        <v>26.06</v>
      </c>
      <c r="O167" s="1">
        <v>3</v>
      </c>
      <c r="P167" s="1">
        <v>25</v>
      </c>
      <c r="T167" s="1">
        <f t="shared" si="17"/>
        <v>152.5</v>
      </c>
      <c r="U167" s="1">
        <f t="shared" si="18"/>
        <v>78.179999999999993</v>
      </c>
      <c r="V167" s="1">
        <f t="shared" si="19"/>
        <v>27526.760000000002</v>
      </c>
      <c r="W167" s="1">
        <f t="shared" si="20"/>
        <v>631.25</v>
      </c>
      <c r="X167" s="1">
        <f t="shared" si="21"/>
        <v>50</v>
      </c>
      <c r="Y167" s="1">
        <f t="shared" si="22"/>
        <v>3</v>
      </c>
      <c r="Z167" s="1">
        <f t="shared" si="23"/>
        <v>9796</v>
      </c>
      <c r="AA167" s="1">
        <f t="shared" si="24"/>
        <v>25</v>
      </c>
    </row>
    <row r="168" spans="2:27" x14ac:dyDescent="0.3">
      <c r="B168" s="12" t="s">
        <v>340</v>
      </c>
      <c r="C168" s="1">
        <v>1.93</v>
      </c>
      <c r="D168" s="1">
        <v>-0.05</v>
      </c>
      <c r="E168" s="1">
        <v>1.88</v>
      </c>
      <c r="F168" s="1">
        <v>1.99</v>
      </c>
      <c r="G168" s="1">
        <v>15</v>
      </c>
      <c r="H168" s="1">
        <v>16582</v>
      </c>
      <c r="I168" s="1">
        <v>200</v>
      </c>
      <c r="J168" s="13" t="s">
        <v>341</v>
      </c>
      <c r="K168" s="1">
        <v>29.83</v>
      </c>
      <c r="L168" s="1">
        <v>-5.81</v>
      </c>
      <c r="M168" s="1">
        <v>28.88</v>
      </c>
      <c r="N168" s="1">
        <v>30.09</v>
      </c>
      <c r="O168" s="1">
        <v>30</v>
      </c>
      <c r="P168" s="1">
        <v>66</v>
      </c>
      <c r="T168" s="1">
        <f t="shared" si="17"/>
        <v>29.85</v>
      </c>
      <c r="U168" s="1">
        <f t="shared" si="18"/>
        <v>902.7</v>
      </c>
      <c r="V168" s="1">
        <f t="shared" si="19"/>
        <v>32003.26</v>
      </c>
      <c r="W168" s="1">
        <f t="shared" si="20"/>
        <v>1968.78</v>
      </c>
      <c r="X168" s="1">
        <f t="shared" si="21"/>
        <v>15</v>
      </c>
      <c r="Y168" s="1">
        <f t="shared" si="22"/>
        <v>30</v>
      </c>
      <c r="Z168" s="1">
        <f t="shared" si="23"/>
        <v>16582</v>
      </c>
      <c r="AA168" s="1">
        <f t="shared" si="24"/>
        <v>66</v>
      </c>
    </row>
    <row r="169" spans="2:27" x14ac:dyDescent="0.3">
      <c r="B169" s="12" t="s">
        <v>342</v>
      </c>
      <c r="C169" s="1">
        <v>1.2</v>
      </c>
      <c r="D169" s="1">
        <v>-0.06</v>
      </c>
      <c r="E169" s="1">
        <v>1.17</v>
      </c>
      <c r="F169" s="1">
        <v>1.3</v>
      </c>
      <c r="G169" s="1">
        <v>80</v>
      </c>
      <c r="H169" s="1">
        <v>1143</v>
      </c>
      <c r="I169" s="1">
        <v>205</v>
      </c>
      <c r="J169" s="13" t="s">
        <v>343</v>
      </c>
      <c r="K169" s="1" t="s">
        <v>11</v>
      </c>
      <c r="L169" s="1" t="s">
        <v>11</v>
      </c>
      <c r="M169" s="1">
        <v>33.22</v>
      </c>
      <c r="N169" s="1">
        <v>34.43</v>
      </c>
      <c r="O169" s="1" t="s">
        <v>11</v>
      </c>
      <c r="P169" s="1">
        <v>0</v>
      </c>
      <c r="T169" s="1">
        <f t="shared" si="17"/>
        <v>104</v>
      </c>
      <c r="U169" s="1">
        <f t="shared" si="18"/>
        <v>0</v>
      </c>
      <c r="V169" s="1">
        <f t="shared" si="19"/>
        <v>1371.6</v>
      </c>
      <c r="W169" s="1">
        <f t="shared" si="20"/>
        <v>0</v>
      </c>
      <c r="X169" s="1">
        <f t="shared" si="21"/>
        <v>80</v>
      </c>
      <c r="Y169" s="1">
        <f t="shared" si="22"/>
        <v>0</v>
      </c>
      <c r="Z169" s="1">
        <f t="shared" si="23"/>
        <v>1143</v>
      </c>
      <c r="AA169" s="1">
        <f t="shared" si="24"/>
        <v>0</v>
      </c>
    </row>
    <row r="170" spans="2:27" x14ac:dyDescent="0.3">
      <c r="B170" s="12" t="s">
        <v>344</v>
      </c>
      <c r="C170" s="1">
        <v>0.86</v>
      </c>
      <c r="D170" s="1">
        <v>0</v>
      </c>
      <c r="E170" s="1">
        <v>0.76</v>
      </c>
      <c r="F170" s="1">
        <v>0.86</v>
      </c>
      <c r="G170" s="1" t="s">
        <v>11</v>
      </c>
      <c r="H170" s="1">
        <v>11318</v>
      </c>
      <c r="I170" s="1">
        <v>210</v>
      </c>
      <c r="J170" s="13" t="s">
        <v>345</v>
      </c>
      <c r="K170" s="1">
        <v>38.4</v>
      </c>
      <c r="L170" s="1">
        <v>0</v>
      </c>
      <c r="M170" s="1">
        <v>37.78</v>
      </c>
      <c r="N170" s="1">
        <v>38.99</v>
      </c>
      <c r="O170" s="1" t="s">
        <v>11</v>
      </c>
      <c r="P170" s="1">
        <v>28</v>
      </c>
      <c r="T170" s="1">
        <f t="shared" si="17"/>
        <v>0</v>
      </c>
      <c r="U170" s="1">
        <f t="shared" si="18"/>
        <v>0</v>
      </c>
      <c r="V170" s="1">
        <f t="shared" si="19"/>
        <v>9733.48</v>
      </c>
      <c r="W170" s="1">
        <f t="shared" si="20"/>
        <v>1075.2</v>
      </c>
      <c r="X170" s="1">
        <f t="shared" si="21"/>
        <v>0</v>
      </c>
      <c r="Y170" s="1">
        <f t="shared" si="22"/>
        <v>0</v>
      </c>
      <c r="Z170" s="1">
        <f t="shared" si="23"/>
        <v>11318</v>
      </c>
      <c r="AA170" s="1">
        <f t="shared" si="24"/>
        <v>28</v>
      </c>
    </row>
    <row r="171" spans="2:27" x14ac:dyDescent="0.3">
      <c r="B171" s="12" t="s">
        <v>346</v>
      </c>
      <c r="C171" s="1">
        <v>0.33</v>
      </c>
      <c r="D171" s="1">
        <v>0</v>
      </c>
      <c r="E171" s="1">
        <v>0.46</v>
      </c>
      <c r="F171" s="1">
        <v>0.57999999999999996</v>
      </c>
      <c r="G171" s="1" t="s">
        <v>11</v>
      </c>
      <c r="H171" s="1">
        <v>5440</v>
      </c>
      <c r="I171" s="1">
        <v>215</v>
      </c>
      <c r="J171" s="13" t="s">
        <v>347</v>
      </c>
      <c r="K171" s="1" t="s">
        <v>11</v>
      </c>
      <c r="L171" s="1" t="s">
        <v>11</v>
      </c>
      <c r="M171" s="1">
        <v>42.51</v>
      </c>
      <c r="N171" s="1">
        <v>43.72</v>
      </c>
      <c r="O171" s="1" t="s">
        <v>11</v>
      </c>
      <c r="P171" s="1">
        <v>0</v>
      </c>
      <c r="T171" s="1">
        <f t="shared" si="17"/>
        <v>0</v>
      </c>
      <c r="U171" s="1">
        <f t="shared" si="18"/>
        <v>0</v>
      </c>
      <c r="V171" s="1">
        <f t="shared" si="19"/>
        <v>1795.2</v>
      </c>
      <c r="W171" s="1">
        <f t="shared" si="20"/>
        <v>0</v>
      </c>
      <c r="X171" s="1">
        <f t="shared" si="21"/>
        <v>0</v>
      </c>
      <c r="Y171" s="1">
        <f t="shared" si="22"/>
        <v>0</v>
      </c>
      <c r="Z171" s="1">
        <f t="shared" si="23"/>
        <v>5440</v>
      </c>
      <c r="AA171" s="1">
        <f t="shared" si="24"/>
        <v>0</v>
      </c>
    </row>
    <row r="172" spans="2:27" x14ac:dyDescent="0.3">
      <c r="B172" s="12" t="s">
        <v>348</v>
      </c>
      <c r="C172" s="1">
        <v>0.31</v>
      </c>
      <c r="D172" s="1">
        <v>0</v>
      </c>
      <c r="E172" s="1">
        <v>0.3</v>
      </c>
      <c r="F172" s="1">
        <v>0.38</v>
      </c>
      <c r="G172" s="1" t="s">
        <v>11</v>
      </c>
      <c r="H172" s="1">
        <v>3165</v>
      </c>
      <c r="I172" s="1">
        <v>220</v>
      </c>
      <c r="J172" s="13" t="s">
        <v>349</v>
      </c>
      <c r="K172" s="1">
        <v>47</v>
      </c>
      <c r="L172" s="1">
        <v>0</v>
      </c>
      <c r="M172" s="1">
        <v>47.34</v>
      </c>
      <c r="N172" s="1">
        <v>48.55</v>
      </c>
      <c r="O172" s="1" t="s">
        <v>11</v>
      </c>
      <c r="P172" s="1">
        <v>20</v>
      </c>
      <c r="T172" s="1">
        <f t="shared" si="17"/>
        <v>0</v>
      </c>
      <c r="U172" s="1">
        <f t="shared" si="18"/>
        <v>0</v>
      </c>
      <c r="V172" s="1">
        <f t="shared" si="19"/>
        <v>981.15</v>
      </c>
      <c r="W172" s="1">
        <f t="shared" si="20"/>
        <v>940</v>
      </c>
      <c r="X172" s="1">
        <f t="shared" si="21"/>
        <v>0</v>
      </c>
      <c r="Y172" s="1">
        <f t="shared" si="22"/>
        <v>0</v>
      </c>
      <c r="Z172" s="1">
        <f t="shared" si="23"/>
        <v>3165</v>
      </c>
      <c r="AA172" s="1">
        <f t="shared" si="24"/>
        <v>20</v>
      </c>
    </row>
    <row r="173" spans="2:27" x14ac:dyDescent="0.3">
      <c r="B173" s="12" t="s">
        <v>350</v>
      </c>
      <c r="C173" s="1">
        <v>0.23</v>
      </c>
      <c r="D173" s="1">
        <v>0</v>
      </c>
      <c r="E173" s="1">
        <v>0.21</v>
      </c>
      <c r="F173" s="1">
        <v>0.26</v>
      </c>
      <c r="G173" s="1" t="s">
        <v>11</v>
      </c>
      <c r="H173" s="1">
        <v>4237</v>
      </c>
      <c r="I173" s="1">
        <v>225</v>
      </c>
      <c r="J173" s="13" t="s">
        <v>351</v>
      </c>
      <c r="K173" s="1" t="s">
        <v>11</v>
      </c>
      <c r="L173" s="1" t="s">
        <v>11</v>
      </c>
      <c r="M173" s="1">
        <v>52.21</v>
      </c>
      <c r="N173" s="1">
        <v>53.42</v>
      </c>
      <c r="O173" s="1" t="s">
        <v>11</v>
      </c>
      <c r="P173" s="1">
        <v>0</v>
      </c>
      <c r="T173" s="1">
        <f t="shared" si="17"/>
        <v>0</v>
      </c>
      <c r="U173" s="1">
        <f t="shared" si="18"/>
        <v>0</v>
      </c>
      <c r="V173" s="1">
        <f t="shared" si="19"/>
        <v>974.51</v>
      </c>
      <c r="W173" s="1">
        <f t="shared" si="20"/>
        <v>0</v>
      </c>
      <c r="X173" s="1">
        <f t="shared" si="21"/>
        <v>0</v>
      </c>
      <c r="Y173" s="1">
        <f t="shared" si="22"/>
        <v>0</v>
      </c>
      <c r="Z173" s="1">
        <f t="shared" si="23"/>
        <v>4237</v>
      </c>
      <c r="AA173" s="1">
        <f t="shared" si="24"/>
        <v>0</v>
      </c>
    </row>
    <row r="174" spans="2:27" x14ac:dyDescent="0.3">
      <c r="B174" s="12" t="s">
        <v>352</v>
      </c>
      <c r="C174" s="1">
        <v>0.11</v>
      </c>
      <c r="D174" s="1">
        <v>0</v>
      </c>
      <c r="E174" s="1">
        <v>0.13</v>
      </c>
      <c r="F174" s="1">
        <v>0.19</v>
      </c>
      <c r="G174" s="1" t="s">
        <v>11</v>
      </c>
      <c r="H174" s="1">
        <v>1279</v>
      </c>
      <c r="I174" s="1">
        <v>230</v>
      </c>
      <c r="J174" s="13" t="s">
        <v>353</v>
      </c>
      <c r="K174" s="1">
        <v>62.55</v>
      </c>
      <c r="L174" s="1">
        <v>0</v>
      </c>
      <c r="M174" s="1">
        <v>57.12</v>
      </c>
      <c r="N174" s="1">
        <v>58.33</v>
      </c>
      <c r="O174" s="1" t="s">
        <v>11</v>
      </c>
      <c r="P174" s="1">
        <v>40</v>
      </c>
      <c r="T174" s="1">
        <f t="shared" si="17"/>
        <v>0</v>
      </c>
      <c r="U174" s="1">
        <f t="shared" si="18"/>
        <v>0</v>
      </c>
      <c r="V174" s="1">
        <f t="shared" si="19"/>
        <v>140.69</v>
      </c>
      <c r="W174" s="1">
        <f t="shared" si="20"/>
        <v>2502</v>
      </c>
      <c r="X174" s="1">
        <f t="shared" si="21"/>
        <v>0</v>
      </c>
      <c r="Y174" s="1">
        <f t="shared" si="22"/>
        <v>0</v>
      </c>
      <c r="Z174" s="1">
        <f t="shared" si="23"/>
        <v>1279</v>
      </c>
      <c r="AA174" s="1">
        <f t="shared" si="24"/>
        <v>40</v>
      </c>
    </row>
    <row r="175" spans="2:27" x14ac:dyDescent="0.3">
      <c r="B175" s="12" t="s">
        <v>354</v>
      </c>
      <c r="C175" s="1">
        <v>0.1</v>
      </c>
      <c r="D175" s="1">
        <v>0</v>
      </c>
      <c r="E175" s="1">
        <v>0.09</v>
      </c>
      <c r="F175" s="1">
        <v>0.14000000000000001</v>
      </c>
      <c r="G175" s="1" t="s">
        <v>11</v>
      </c>
      <c r="H175" s="1">
        <v>437</v>
      </c>
      <c r="I175" s="1">
        <v>235</v>
      </c>
      <c r="J175" s="13" t="s">
        <v>355</v>
      </c>
      <c r="K175" s="1">
        <v>82.75</v>
      </c>
      <c r="L175" s="1">
        <v>0</v>
      </c>
      <c r="M175" s="1">
        <v>62.05</v>
      </c>
      <c r="N175" s="1">
        <v>63.26</v>
      </c>
      <c r="O175" s="1" t="s">
        <v>11</v>
      </c>
      <c r="P175" s="1">
        <v>10</v>
      </c>
      <c r="T175" s="1">
        <f t="shared" si="17"/>
        <v>0</v>
      </c>
      <c r="U175" s="1">
        <f t="shared" si="18"/>
        <v>0</v>
      </c>
      <c r="V175" s="1">
        <f t="shared" si="19"/>
        <v>43.7</v>
      </c>
      <c r="W175" s="1">
        <f t="shared" si="20"/>
        <v>827.5</v>
      </c>
      <c r="X175" s="1">
        <f t="shared" si="21"/>
        <v>0</v>
      </c>
      <c r="Y175" s="1">
        <f t="shared" si="22"/>
        <v>0</v>
      </c>
      <c r="Z175" s="1">
        <f t="shared" si="23"/>
        <v>437</v>
      </c>
      <c r="AA175" s="1">
        <f t="shared" si="24"/>
        <v>10</v>
      </c>
    </row>
    <row r="176" spans="2:27" x14ac:dyDescent="0.3">
      <c r="B176" s="12" t="s">
        <v>356</v>
      </c>
      <c r="C176" s="1">
        <v>0.05</v>
      </c>
      <c r="D176" s="1">
        <v>0</v>
      </c>
      <c r="E176" s="1">
        <v>0.05</v>
      </c>
      <c r="F176" s="1">
        <v>0.1</v>
      </c>
      <c r="G176" s="1" t="s">
        <v>11</v>
      </c>
      <c r="H176" s="1">
        <v>323</v>
      </c>
      <c r="I176" s="1">
        <v>240</v>
      </c>
      <c r="J176" s="13" t="s">
        <v>357</v>
      </c>
      <c r="K176" s="1">
        <v>73.260000000000005</v>
      </c>
      <c r="L176" s="1">
        <v>0</v>
      </c>
      <c r="M176" s="1">
        <v>67</v>
      </c>
      <c r="N176" s="1">
        <v>68.209999999999994</v>
      </c>
      <c r="O176" s="1" t="s">
        <v>11</v>
      </c>
      <c r="P176" s="1">
        <v>30</v>
      </c>
      <c r="T176" s="1">
        <f t="shared" si="17"/>
        <v>0</v>
      </c>
      <c r="U176" s="1">
        <f t="shared" si="18"/>
        <v>0</v>
      </c>
      <c r="V176" s="1">
        <f t="shared" si="19"/>
        <v>16.150000000000002</v>
      </c>
      <c r="W176" s="1">
        <f t="shared" si="20"/>
        <v>2197.8000000000002</v>
      </c>
      <c r="X176" s="1">
        <f t="shared" si="21"/>
        <v>0</v>
      </c>
      <c r="Y176" s="1">
        <f t="shared" si="22"/>
        <v>0</v>
      </c>
      <c r="Z176" s="1">
        <f t="shared" si="23"/>
        <v>323</v>
      </c>
      <c r="AA176" s="1">
        <f t="shared" si="24"/>
        <v>30</v>
      </c>
    </row>
    <row r="177" spans="2:27" x14ac:dyDescent="0.3">
      <c r="B177" s="12" t="s">
        <v>358</v>
      </c>
      <c r="C177" s="1">
        <v>0.04</v>
      </c>
      <c r="D177" s="1">
        <v>0</v>
      </c>
      <c r="E177" s="1">
        <v>0.03</v>
      </c>
      <c r="F177" s="1">
        <v>0.08</v>
      </c>
      <c r="G177" s="1" t="s">
        <v>11</v>
      </c>
      <c r="H177" s="1">
        <v>1837</v>
      </c>
      <c r="I177" s="1">
        <v>245</v>
      </c>
      <c r="J177" s="13" t="s">
        <v>359</v>
      </c>
      <c r="K177" s="1">
        <v>78.36</v>
      </c>
      <c r="L177" s="1">
        <v>0</v>
      </c>
      <c r="M177" s="1">
        <v>71.959999999999994</v>
      </c>
      <c r="N177" s="1">
        <v>73.17</v>
      </c>
      <c r="O177" s="1" t="s">
        <v>11</v>
      </c>
      <c r="P177" s="1">
        <v>1049</v>
      </c>
      <c r="T177" s="1">
        <f t="shared" si="17"/>
        <v>0</v>
      </c>
      <c r="U177" s="1">
        <f t="shared" si="18"/>
        <v>0</v>
      </c>
      <c r="V177" s="1">
        <f t="shared" si="19"/>
        <v>73.48</v>
      </c>
      <c r="W177" s="1">
        <f t="shared" si="20"/>
        <v>82199.64</v>
      </c>
      <c r="X177" s="1">
        <f t="shared" si="21"/>
        <v>0</v>
      </c>
      <c r="Y177" s="1">
        <f t="shared" si="22"/>
        <v>0</v>
      </c>
      <c r="Z177" s="1">
        <f t="shared" si="23"/>
        <v>1837</v>
      </c>
      <c r="AA177" s="1">
        <f t="shared" si="24"/>
        <v>1049</v>
      </c>
    </row>
    <row r="178" spans="2:27" x14ac:dyDescent="0.3">
      <c r="B178" s="12" t="s">
        <v>360</v>
      </c>
      <c r="C178" s="1">
        <v>0.01</v>
      </c>
      <c r="D178" s="1">
        <v>0</v>
      </c>
      <c r="E178" s="1">
        <v>0.03</v>
      </c>
      <c r="F178" s="1">
        <v>7.0000000000000007E-2</v>
      </c>
      <c r="G178" s="1" t="s">
        <v>11</v>
      </c>
      <c r="H178" s="1">
        <v>3278</v>
      </c>
      <c r="I178" s="1">
        <v>250</v>
      </c>
      <c r="J178" s="13" t="s">
        <v>361</v>
      </c>
      <c r="K178" s="1">
        <v>81.17</v>
      </c>
      <c r="L178" s="1">
        <v>0</v>
      </c>
      <c r="M178" s="1">
        <v>76.92</v>
      </c>
      <c r="N178" s="1">
        <v>78.13</v>
      </c>
      <c r="O178" s="1" t="s">
        <v>11</v>
      </c>
      <c r="P178" s="1">
        <v>10</v>
      </c>
      <c r="T178" s="1">
        <f t="shared" si="17"/>
        <v>0</v>
      </c>
      <c r="U178" s="1">
        <f t="shared" si="18"/>
        <v>0</v>
      </c>
      <c r="V178" s="1">
        <f t="shared" si="19"/>
        <v>32.78</v>
      </c>
      <c r="W178" s="1">
        <f t="shared" si="20"/>
        <v>811.7</v>
      </c>
      <c r="X178" s="1">
        <f t="shared" si="21"/>
        <v>0</v>
      </c>
      <c r="Y178" s="1">
        <f t="shared" si="22"/>
        <v>0</v>
      </c>
      <c r="Z178" s="1">
        <f t="shared" si="23"/>
        <v>3278</v>
      </c>
      <c r="AA178" s="1">
        <f t="shared" si="24"/>
        <v>10</v>
      </c>
    </row>
    <row r="179" spans="2:27" x14ac:dyDescent="0.3">
      <c r="B179" s="12" t="s">
        <v>362</v>
      </c>
      <c r="C179" s="1">
        <v>0.01</v>
      </c>
      <c r="D179" s="1">
        <v>0</v>
      </c>
      <c r="E179" s="1" t="s">
        <v>11</v>
      </c>
      <c r="F179" s="1">
        <v>0.06</v>
      </c>
      <c r="G179" s="1" t="s">
        <v>11</v>
      </c>
      <c r="H179" s="1">
        <v>254</v>
      </c>
      <c r="I179" s="1">
        <v>255</v>
      </c>
      <c r="J179" s="13" t="s">
        <v>363</v>
      </c>
      <c r="K179" s="1">
        <v>84.07</v>
      </c>
      <c r="L179" s="1">
        <v>0</v>
      </c>
      <c r="M179" s="1">
        <v>80.08</v>
      </c>
      <c r="N179" s="1">
        <v>84.45</v>
      </c>
      <c r="O179" s="1" t="s">
        <v>11</v>
      </c>
      <c r="P179" s="1">
        <v>40</v>
      </c>
      <c r="T179" s="1">
        <f t="shared" si="17"/>
        <v>0</v>
      </c>
      <c r="U179" s="1">
        <f t="shared" si="18"/>
        <v>0</v>
      </c>
      <c r="V179" s="1">
        <f t="shared" si="19"/>
        <v>2.54</v>
      </c>
      <c r="W179" s="1">
        <f t="shared" si="20"/>
        <v>3362.7999999999997</v>
      </c>
      <c r="X179" s="1">
        <f t="shared" si="21"/>
        <v>0</v>
      </c>
      <c r="Y179" s="1">
        <f t="shared" si="22"/>
        <v>0</v>
      </c>
      <c r="Z179" s="1">
        <f t="shared" si="23"/>
        <v>254</v>
      </c>
      <c r="AA179" s="1">
        <f t="shared" si="24"/>
        <v>40</v>
      </c>
    </row>
    <row r="180" spans="2:27" x14ac:dyDescent="0.3">
      <c r="B180" s="12" t="s">
        <v>364</v>
      </c>
      <c r="C180" s="1">
        <v>7.0000000000000007E-2</v>
      </c>
      <c r="D180" s="1">
        <v>0</v>
      </c>
      <c r="E180" s="1" t="s">
        <v>11</v>
      </c>
      <c r="F180" s="1">
        <v>0.05</v>
      </c>
      <c r="G180" s="1" t="s">
        <v>11</v>
      </c>
      <c r="H180" s="1">
        <v>4024</v>
      </c>
      <c r="I180" s="1">
        <v>260</v>
      </c>
      <c r="J180" s="13" t="s">
        <v>365</v>
      </c>
      <c r="K180" s="1">
        <v>93.94</v>
      </c>
      <c r="L180" s="1">
        <v>0</v>
      </c>
      <c r="M180" s="1">
        <v>85.08</v>
      </c>
      <c r="N180" s="1">
        <v>89.42</v>
      </c>
      <c r="O180" s="1" t="s">
        <v>11</v>
      </c>
      <c r="P180" s="1">
        <v>148</v>
      </c>
      <c r="T180" s="1">
        <f t="shared" si="17"/>
        <v>0</v>
      </c>
      <c r="U180" s="1">
        <f t="shared" si="18"/>
        <v>0</v>
      </c>
      <c r="V180" s="1">
        <f t="shared" si="19"/>
        <v>281.68</v>
      </c>
      <c r="W180" s="1">
        <f t="shared" si="20"/>
        <v>13903.119999999999</v>
      </c>
      <c r="X180" s="1">
        <f t="shared" si="21"/>
        <v>0</v>
      </c>
      <c r="Y180" s="1">
        <f t="shared" si="22"/>
        <v>0</v>
      </c>
      <c r="Z180" s="1">
        <f t="shared" si="23"/>
        <v>4024</v>
      </c>
      <c r="AA180" s="1">
        <f t="shared" si="24"/>
        <v>148</v>
      </c>
    </row>
    <row r="181" spans="2:27" x14ac:dyDescent="0.3">
      <c r="B181" s="12"/>
      <c r="J181" s="13"/>
      <c r="T181" s="1">
        <f t="shared" si="17"/>
        <v>0</v>
      </c>
      <c r="U181" s="1">
        <f t="shared" si="18"/>
        <v>0</v>
      </c>
      <c r="V181" s="1">
        <f t="shared" si="19"/>
        <v>0</v>
      </c>
      <c r="W181" s="1">
        <f t="shared" si="20"/>
        <v>0</v>
      </c>
      <c r="X181" s="1">
        <f t="shared" si="21"/>
        <v>0</v>
      </c>
      <c r="Y181" s="1">
        <f t="shared" si="22"/>
        <v>0</v>
      </c>
      <c r="Z181" s="1">
        <f t="shared" si="23"/>
        <v>0</v>
      </c>
      <c r="AA181" s="1">
        <f t="shared" si="24"/>
        <v>0</v>
      </c>
    </row>
    <row r="182" spans="2:27" x14ac:dyDescent="0.3">
      <c r="B182" s="12"/>
      <c r="J182" s="13"/>
      <c r="T182" s="1">
        <f t="shared" si="17"/>
        <v>0</v>
      </c>
      <c r="U182" s="1">
        <f t="shared" si="18"/>
        <v>0</v>
      </c>
      <c r="V182" s="1">
        <f t="shared" si="19"/>
        <v>0</v>
      </c>
      <c r="W182" s="1">
        <f t="shared" si="20"/>
        <v>0</v>
      </c>
      <c r="X182" s="1">
        <f t="shared" si="21"/>
        <v>0</v>
      </c>
      <c r="Y182" s="1">
        <f t="shared" si="22"/>
        <v>0</v>
      </c>
      <c r="Z182" s="1">
        <f t="shared" si="23"/>
        <v>0</v>
      </c>
      <c r="AA182" s="1">
        <f t="shared" si="24"/>
        <v>0</v>
      </c>
    </row>
    <row r="183" spans="2:27" x14ac:dyDescent="0.3">
      <c r="B183" s="12"/>
      <c r="J183" s="13"/>
      <c r="T183" s="1">
        <f t="shared" si="17"/>
        <v>0</v>
      </c>
      <c r="U183" s="1">
        <f t="shared" si="18"/>
        <v>0</v>
      </c>
      <c r="V183" s="1">
        <f t="shared" si="19"/>
        <v>0</v>
      </c>
      <c r="W183" s="1">
        <f t="shared" si="20"/>
        <v>0</v>
      </c>
      <c r="X183" s="1">
        <f t="shared" si="21"/>
        <v>0</v>
      </c>
      <c r="Y183" s="1">
        <f t="shared" si="22"/>
        <v>0</v>
      </c>
      <c r="Z183" s="1">
        <f t="shared" si="23"/>
        <v>0</v>
      </c>
      <c r="AA183" s="1">
        <f t="shared" si="24"/>
        <v>0</v>
      </c>
    </row>
    <row r="184" spans="2:27" x14ac:dyDescent="0.3">
      <c r="B184" s="12"/>
      <c r="J184" s="13"/>
      <c r="T184" s="1">
        <f t="shared" si="17"/>
        <v>0</v>
      </c>
      <c r="U184" s="1">
        <f t="shared" si="18"/>
        <v>0</v>
      </c>
      <c r="V184" s="1">
        <f t="shared" si="19"/>
        <v>0</v>
      </c>
      <c r="W184" s="1">
        <f t="shared" si="20"/>
        <v>0</v>
      </c>
      <c r="X184" s="1">
        <f t="shared" si="21"/>
        <v>0</v>
      </c>
      <c r="Y184" s="1">
        <f t="shared" si="22"/>
        <v>0</v>
      </c>
      <c r="Z184" s="1">
        <f t="shared" si="23"/>
        <v>0</v>
      </c>
      <c r="AA184" s="1">
        <f t="shared" si="24"/>
        <v>0</v>
      </c>
    </row>
    <row r="185" spans="2:27" x14ac:dyDescent="0.3">
      <c r="B185" s="12"/>
      <c r="J185" s="13"/>
      <c r="T185" s="1">
        <f t="shared" si="17"/>
        <v>0</v>
      </c>
      <c r="U185" s="1">
        <f t="shared" si="18"/>
        <v>0</v>
      </c>
      <c r="V185" s="1">
        <f t="shared" si="19"/>
        <v>0</v>
      </c>
      <c r="W185" s="1">
        <f t="shared" si="20"/>
        <v>0</v>
      </c>
      <c r="X185" s="1">
        <f t="shared" si="21"/>
        <v>0</v>
      </c>
      <c r="Y185" s="1">
        <f t="shared" si="22"/>
        <v>0</v>
      </c>
      <c r="Z185" s="1">
        <f t="shared" si="23"/>
        <v>0</v>
      </c>
      <c r="AA185" s="1">
        <f t="shared" si="24"/>
        <v>0</v>
      </c>
    </row>
    <row r="186" spans="2:27" x14ac:dyDescent="0.3">
      <c r="B186" s="12"/>
      <c r="J186" s="13"/>
      <c r="T186" s="1">
        <f t="shared" si="17"/>
        <v>0</v>
      </c>
      <c r="U186" s="1">
        <f t="shared" si="18"/>
        <v>0</v>
      </c>
      <c r="V186" s="1">
        <f t="shared" si="19"/>
        <v>0</v>
      </c>
      <c r="W186" s="1">
        <f t="shared" si="20"/>
        <v>0</v>
      </c>
      <c r="X186" s="1">
        <f t="shared" si="21"/>
        <v>0</v>
      </c>
      <c r="Y186" s="1">
        <f t="shared" si="22"/>
        <v>0</v>
      </c>
      <c r="Z186" s="1">
        <f t="shared" si="23"/>
        <v>0</v>
      </c>
      <c r="AA186" s="1">
        <f t="shared" si="24"/>
        <v>0</v>
      </c>
    </row>
    <row r="187" spans="2:27" x14ac:dyDescent="0.3">
      <c r="B187" s="12"/>
      <c r="I187" s="14"/>
      <c r="J187" s="13"/>
      <c r="T187" s="1">
        <f t="shared" si="17"/>
        <v>0</v>
      </c>
      <c r="U187" s="1">
        <f t="shared" si="18"/>
        <v>0</v>
      </c>
      <c r="V187" s="1">
        <f t="shared" si="19"/>
        <v>0</v>
      </c>
      <c r="W187" s="1">
        <f t="shared" si="20"/>
        <v>0</v>
      </c>
      <c r="X187" s="1">
        <f t="shared" si="21"/>
        <v>0</v>
      </c>
      <c r="Y187" s="1">
        <f t="shared" si="22"/>
        <v>0</v>
      </c>
      <c r="Z187" s="1">
        <f t="shared" si="23"/>
        <v>0</v>
      </c>
      <c r="AA187" s="1">
        <f t="shared" si="24"/>
        <v>0</v>
      </c>
    </row>
    <row r="188" spans="2:27" x14ac:dyDescent="0.3">
      <c r="B188" s="12"/>
      <c r="J188" s="13"/>
      <c r="T188" s="1">
        <f t="shared" si="17"/>
        <v>0</v>
      </c>
      <c r="U188" s="1">
        <f t="shared" si="18"/>
        <v>0</v>
      </c>
      <c r="V188" s="1">
        <f t="shared" si="19"/>
        <v>0</v>
      </c>
      <c r="W188" s="1">
        <f t="shared" si="20"/>
        <v>0</v>
      </c>
      <c r="X188" s="1">
        <f t="shared" si="21"/>
        <v>0</v>
      </c>
      <c r="Y188" s="1">
        <f t="shared" si="22"/>
        <v>0</v>
      </c>
      <c r="Z188" s="1">
        <f t="shared" si="23"/>
        <v>0</v>
      </c>
      <c r="AA188" s="1">
        <f t="shared" si="24"/>
        <v>0</v>
      </c>
    </row>
    <row r="189" spans="2:27" x14ac:dyDescent="0.3">
      <c r="B189" s="12"/>
      <c r="J189" s="13"/>
      <c r="T189" s="1">
        <f t="shared" si="17"/>
        <v>0</v>
      </c>
      <c r="U189" s="1">
        <f t="shared" si="18"/>
        <v>0</v>
      </c>
      <c r="V189" s="1">
        <f t="shared" si="19"/>
        <v>0</v>
      </c>
      <c r="W189" s="1">
        <f t="shared" si="20"/>
        <v>0</v>
      </c>
      <c r="X189" s="1">
        <f t="shared" si="21"/>
        <v>0</v>
      </c>
      <c r="Y189" s="1">
        <f t="shared" si="22"/>
        <v>0</v>
      </c>
      <c r="Z189" s="1">
        <f t="shared" si="23"/>
        <v>0</v>
      </c>
      <c r="AA189" s="1">
        <f t="shared" si="24"/>
        <v>0</v>
      </c>
    </row>
    <row r="190" spans="2:27" x14ac:dyDescent="0.3">
      <c r="B190" s="12"/>
      <c r="J190" s="13"/>
      <c r="T190" s="1">
        <f t="shared" si="17"/>
        <v>0</v>
      </c>
      <c r="U190" s="1">
        <f t="shared" si="18"/>
        <v>0</v>
      </c>
      <c r="V190" s="1">
        <f t="shared" si="19"/>
        <v>0</v>
      </c>
      <c r="W190" s="1">
        <f t="shared" si="20"/>
        <v>0</v>
      </c>
      <c r="X190" s="1">
        <f t="shared" si="21"/>
        <v>0</v>
      </c>
      <c r="Y190" s="1">
        <f t="shared" si="22"/>
        <v>0</v>
      </c>
      <c r="Z190" s="1">
        <f t="shared" si="23"/>
        <v>0</v>
      </c>
      <c r="AA190" s="1">
        <f t="shared" si="24"/>
        <v>0</v>
      </c>
    </row>
    <row r="191" spans="2:27" x14ac:dyDescent="0.3">
      <c r="B191" s="12"/>
      <c r="J191" s="13"/>
      <c r="T191" s="1">
        <f t="shared" si="17"/>
        <v>0</v>
      </c>
      <c r="U191" s="1">
        <f t="shared" si="18"/>
        <v>0</v>
      </c>
      <c r="V191" s="1">
        <f t="shared" si="19"/>
        <v>0</v>
      </c>
      <c r="W191" s="1">
        <f t="shared" si="20"/>
        <v>0</v>
      </c>
      <c r="X191" s="1">
        <f t="shared" si="21"/>
        <v>0</v>
      </c>
      <c r="Y191" s="1">
        <f t="shared" si="22"/>
        <v>0</v>
      </c>
      <c r="Z191" s="1">
        <f t="shared" si="23"/>
        <v>0</v>
      </c>
      <c r="AA191" s="1">
        <f t="shared" si="24"/>
        <v>0</v>
      </c>
    </row>
    <row r="192" spans="2:27" x14ac:dyDescent="0.3">
      <c r="B192" s="12"/>
      <c r="J192" s="13"/>
      <c r="T192" s="1">
        <f t="shared" si="17"/>
        <v>0</v>
      </c>
      <c r="U192" s="1">
        <f t="shared" si="18"/>
        <v>0</v>
      </c>
      <c r="V192" s="1">
        <f t="shared" si="19"/>
        <v>0</v>
      </c>
      <c r="W192" s="1">
        <f t="shared" si="20"/>
        <v>0</v>
      </c>
      <c r="X192" s="1">
        <f t="shared" si="21"/>
        <v>0</v>
      </c>
      <c r="Y192" s="1">
        <f t="shared" si="22"/>
        <v>0</v>
      </c>
      <c r="Z192" s="1">
        <f t="shared" si="23"/>
        <v>0</v>
      </c>
      <c r="AA192" s="1">
        <f t="shared" si="24"/>
        <v>0</v>
      </c>
    </row>
    <row r="193" spans="2:27" x14ac:dyDescent="0.3">
      <c r="B193" s="12"/>
      <c r="J193" s="13"/>
      <c r="T193" s="1">
        <f t="shared" si="17"/>
        <v>0</v>
      </c>
      <c r="U193" s="1">
        <f t="shared" si="18"/>
        <v>0</v>
      </c>
      <c r="V193" s="1">
        <f t="shared" si="19"/>
        <v>0</v>
      </c>
      <c r="W193" s="1">
        <f t="shared" si="20"/>
        <v>0</v>
      </c>
      <c r="X193" s="1">
        <f t="shared" si="21"/>
        <v>0</v>
      </c>
      <c r="Y193" s="1">
        <f t="shared" si="22"/>
        <v>0</v>
      </c>
      <c r="Z193" s="1">
        <f t="shared" si="23"/>
        <v>0</v>
      </c>
      <c r="AA193" s="1">
        <f t="shared" si="24"/>
        <v>0</v>
      </c>
    </row>
    <row r="194" spans="2:27" x14ac:dyDescent="0.3">
      <c r="B194" s="12"/>
      <c r="J194" s="13"/>
      <c r="T194" s="1">
        <f t="shared" si="17"/>
        <v>0</v>
      </c>
      <c r="U194" s="1">
        <f t="shared" si="18"/>
        <v>0</v>
      </c>
      <c r="V194" s="1">
        <f t="shared" si="19"/>
        <v>0</v>
      </c>
      <c r="W194" s="1">
        <f t="shared" si="20"/>
        <v>0</v>
      </c>
      <c r="X194" s="1">
        <f t="shared" si="21"/>
        <v>0</v>
      </c>
      <c r="Y194" s="1">
        <f t="shared" si="22"/>
        <v>0</v>
      </c>
      <c r="Z194" s="1">
        <f t="shared" si="23"/>
        <v>0</v>
      </c>
      <c r="AA194" s="1">
        <f t="shared" si="24"/>
        <v>0</v>
      </c>
    </row>
    <row r="195" spans="2:27" x14ac:dyDescent="0.3">
      <c r="B195" s="12"/>
      <c r="J195" s="13"/>
      <c r="T195" s="1">
        <f t="shared" si="17"/>
        <v>0</v>
      </c>
      <c r="U195" s="1">
        <f t="shared" si="18"/>
        <v>0</v>
      </c>
      <c r="V195" s="1">
        <f t="shared" si="19"/>
        <v>0</v>
      </c>
      <c r="W195" s="1">
        <f t="shared" si="20"/>
        <v>0</v>
      </c>
      <c r="X195" s="1">
        <f t="shared" si="21"/>
        <v>0</v>
      </c>
      <c r="Y195" s="1">
        <f t="shared" si="22"/>
        <v>0</v>
      </c>
      <c r="Z195" s="1">
        <f t="shared" si="23"/>
        <v>0</v>
      </c>
      <c r="AA195" s="1">
        <f t="shared" si="24"/>
        <v>0</v>
      </c>
    </row>
    <row r="196" spans="2:27" x14ac:dyDescent="0.3">
      <c r="B196" s="12"/>
      <c r="J196" s="13"/>
      <c r="T196" s="1">
        <f t="shared" si="17"/>
        <v>0</v>
      </c>
      <c r="U196" s="1">
        <f t="shared" si="18"/>
        <v>0</v>
      </c>
      <c r="V196" s="1">
        <f t="shared" si="19"/>
        <v>0</v>
      </c>
      <c r="W196" s="1">
        <f t="shared" si="20"/>
        <v>0</v>
      </c>
      <c r="X196" s="1">
        <f t="shared" si="21"/>
        <v>0</v>
      </c>
      <c r="Y196" s="1">
        <f t="shared" si="22"/>
        <v>0</v>
      </c>
      <c r="Z196" s="1">
        <f t="shared" si="23"/>
        <v>0</v>
      </c>
      <c r="AA196" s="1">
        <f t="shared" si="24"/>
        <v>0</v>
      </c>
    </row>
    <row r="197" spans="2:27" x14ac:dyDescent="0.3">
      <c r="B197" s="12"/>
      <c r="J197" s="13"/>
      <c r="T197" s="1">
        <f t="shared" si="17"/>
        <v>0</v>
      </c>
      <c r="U197" s="1">
        <f t="shared" si="18"/>
        <v>0</v>
      </c>
      <c r="V197" s="1">
        <f t="shared" si="19"/>
        <v>0</v>
      </c>
      <c r="W197" s="1">
        <f t="shared" si="20"/>
        <v>0</v>
      </c>
      <c r="X197" s="1">
        <f t="shared" si="21"/>
        <v>0</v>
      </c>
      <c r="Y197" s="1">
        <f t="shared" si="22"/>
        <v>0</v>
      </c>
      <c r="Z197" s="1">
        <f t="shared" si="23"/>
        <v>0</v>
      </c>
      <c r="AA197" s="1">
        <f t="shared" si="24"/>
        <v>0</v>
      </c>
    </row>
    <row r="198" spans="2:27" x14ac:dyDescent="0.3">
      <c r="B198" s="12"/>
      <c r="J198" s="13"/>
      <c r="T198" s="1">
        <f t="shared" si="17"/>
        <v>0</v>
      </c>
      <c r="U198" s="1">
        <f t="shared" si="18"/>
        <v>0</v>
      </c>
      <c r="V198" s="1">
        <f t="shared" si="19"/>
        <v>0</v>
      </c>
      <c r="W198" s="1">
        <f t="shared" si="20"/>
        <v>0</v>
      </c>
      <c r="X198" s="1">
        <f t="shared" si="21"/>
        <v>0</v>
      </c>
      <c r="Y198" s="1">
        <f t="shared" si="22"/>
        <v>0</v>
      </c>
      <c r="Z198" s="1">
        <f t="shared" si="23"/>
        <v>0</v>
      </c>
      <c r="AA198" s="1">
        <f t="shared" si="24"/>
        <v>0</v>
      </c>
    </row>
    <row r="199" spans="2:27" x14ac:dyDescent="0.3">
      <c r="B199" s="12"/>
      <c r="J199" s="13"/>
      <c r="T199" s="1">
        <f t="shared" ref="T199:T262" si="25">IF(AND(G199="-"),0,G199*F199)</f>
        <v>0</v>
      </c>
      <c r="U199" s="1">
        <f t="shared" ref="U199:U262" si="26">IF(AND(O199="-"),0,O199*N199)</f>
        <v>0</v>
      </c>
      <c r="V199" s="1">
        <f t="shared" ref="V199:V262" si="27">IFERROR(C199*H199,0)</f>
        <v>0</v>
      </c>
      <c r="W199" s="1">
        <f t="shared" ref="W199:W262" si="28">IFERROR(K199*P199,0)</f>
        <v>0</v>
      </c>
      <c r="X199" s="1">
        <f t="shared" ref="X199:X262" si="29">IFERROR(G199*1,0)</f>
        <v>0</v>
      </c>
      <c r="Y199" s="1">
        <f t="shared" ref="Y199:Y262" si="30">IFERROR(O199*1,0)</f>
        <v>0</v>
      </c>
      <c r="Z199" s="1">
        <f t="shared" ref="Z199:Z262" si="31">IFERROR(H199*1,0)</f>
        <v>0</v>
      </c>
      <c r="AA199" s="1">
        <f t="shared" ref="AA199:AA262" si="32">IFERROR(P199*1,0)</f>
        <v>0</v>
      </c>
    </row>
    <row r="200" spans="2:27" x14ac:dyDescent="0.3">
      <c r="B200" s="12"/>
      <c r="J200" s="13"/>
      <c r="T200" s="1">
        <f t="shared" si="25"/>
        <v>0</v>
      </c>
      <c r="U200" s="1">
        <f t="shared" si="26"/>
        <v>0</v>
      </c>
      <c r="V200" s="1">
        <f t="shared" si="27"/>
        <v>0</v>
      </c>
      <c r="W200" s="1">
        <f t="shared" si="28"/>
        <v>0</v>
      </c>
      <c r="X200" s="1">
        <f t="shared" si="29"/>
        <v>0</v>
      </c>
      <c r="Y200" s="1">
        <f t="shared" si="30"/>
        <v>0</v>
      </c>
      <c r="Z200" s="1">
        <f t="shared" si="31"/>
        <v>0</v>
      </c>
      <c r="AA200" s="1">
        <f t="shared" si="32"/>
        <v>0</v>
      </c>
    </row>
    <row r="201" spans="2:27" x14ac:dyDescent="0.3">
      <c r="B201" s="12"/>
      <c r="J201" s="13"/>
      <c r="T201" s="1">
        <f t="shared" si="25"/>
        <v>0</v>
      </c>
      <c r="U201" s="1">
        <f t="shared" si="26"/>
        <v>0</v>
      </c>
      <c r="V201" s="1">
        <f t="shared" si="27"/>
        <v>0</v>
      </c>
      <c r="W201" s="1">
        <f t="shared" si="28"/>
        <v>0</v>
      </c>
      <c r="X201" s="1">
        <f t="shared" si="29"/>
        <v>0</v>
      </c>
      <c r="Y201" s="1">
        <f t="shared" si="30"/>
        <v>0</v>
      </c>
      <c r="Z201" s="1">
        <f t="shared" si="31"/>
        <v>0</v>
      </c>
      <c r="AA201" s="1">
        <f t="shared" si="32"/>
        <v>0</v>
      </c>
    </row>
    <row r="202" spans="2:27" x14ac:dyDescent="0.3">
      <c r="B202" s="12"/>
      <c r="J202" s="13"/>
      <c r="T202" s="1">
        <f t="shared" si="25"/>
        <v>0</v>
      </c>
      <c r="U202" s="1">
        <f t="shared" si="26"/>
        <v>0</v>
      </c>
      <c r="V202" s="1">
        <f t="shared" si="27"/>
        <v>0</v>
      </c>
      <c r="W202" s="1">
        <f t="shared" si="28"/>
        <v>0</v>
      </c>
      <c r="X202" s="1">
        <f t="shared" si="29"/>
        <v>0</v>
      </c>
      <c r="Y202" s="1">
        <f t="shared" si="30"/>
        <v>0</v>
      </c>
      <c r="Z202" s="1">
        <f t="shared" si="31"/>
        <v>0</v>
      </c>
      <c r="AA202" s="1">
        <f t="shared" si="32"/>
        <v>0</v>
      </c>
    </row>
    <row r="203" spans="2:27" x14ac:dyDescent="0.3">
      <c r="B203" s="12"/>
      <c r="J203" s="13"/>
      <c r="T203" s="1">
        <f t="shared" si="25"/>
        <v>0</v>
      </c>
      <c r="U203" s="1">
        <f t="shared" si="26"/>
        <v>0</v>
      </c>
      <c r="V203" s="1">
        <f t="shared" si="27"/>
        <v>0</v>
      </c>
      <c r="W203" s="1">
        <f t="shared" si="28"/>
        <v>0</v>
      </c>
      <c r="X203" s="1">
        <f t="shared" si="29"/>
        <v>0</v>
      </c>
      <c r="Y203" s="1">
        <f t="shared" si="30"/>
        <v>0</v>
      </c>
      <c r="Z203" s="1">
        <f t="shared" si="31"/>
        <v>0</v>
      </c>
      <c r="AA203" s="1">
        <f t="shared" si="32"/>
        <v>0</v>
      </c>
    </row>
    <row r="204" spans="2:27" x14ac:dyDescent="0.3">
      <c r="B204" s="12"/>
      <c r="J204" s="13"/>
      <c r="T204" s="1">
        <f t="shared" si="25"/>
        <v>0</v>
      </c>
      <c r="U204" s="1">
        <f t="shared" si="26"/>
        <v>0</v>
      </c>
      <c r="V204" s="1">
        <f t="shared" si="27"/>
        <v>0</v>
      </c>
      <c r="W204" s="1">
        <f t="shared" si="28"/>
        <v>0</v>
      </c>
      <c r="X204" s="1">
        <f t="shared" si="29"/>
        <v>0</v>
      </c>
      <c r="Y204" s="1">
        <f t="shared" si="30"/>
        <v>0</v>
      </c>
      <c r="Z204" s="1">
        <f t="shared" si="31"/>
        <v>0</v>
      </c>
      <c r="AA204" s="1">
        <f t="shared" si="32"/>
        <v>0</v>
      </c>
    </row>
    <row r="205" spans="2:27" x14ac:dyDescent="0.3">
      <c r="B205" s="12"/>
      <c r="J205" s="13"/>
      <c r="T205" s="1">
        <f t="shared" si="25"/>
        <v>0</v>
      </c>
      <c r="U205" s="1">
        <f t="shared" si="26"/>
        <v>0</v>
      </c>
      <c r="V205" s="1">
        <f t="shared" si="27"/>
        <v>0</v>
      </c>
      <c r="W205" s="1">
        <f t="shared" si="28"/>
        <v>0</v>
      </c>
      <c r="X205" s="1">
        <f t="shared" si="29"/>
        <v>0</v>
      </c>
      <c r="Y205" s="1">
        <f t="shared" si="30"/>
        <v>0</v>
      </c>
      <c r="Z205" s="1">
        <f t="shared" si="31"/>
        <v>0</v>
      </c>
      <c r="AA205" s="1">
        <f t="shared" si="32"/>
        <v>0</v>
      </c>
    </row>
    <row r="206" spans="2:27" x14ac:dyDescent="0.3">
      <c r="B206" s="12"/>
      <c r="J206" s="13"/>
      <c r="T206" s="1">
        <f t="shared" si="25"/>
        <v>0</v>
      </c>
      <c r="U206" s="1">
        <f t="shared" si="26"/>
        <v>0</v>
      </c>
      <c r="V206" s="1">
        <f t="shared" si="27"/>
        <v>0</v>
      </c>
      <c r="W206" s="1">
        <f t="shared" si="28"/>
        <v>0</v>
      </c>
      <c r="X206" s="1">
        <f t="shared" si="29"/>
        <v>0</v>
      </c>
      <c r="Y206" s="1">
        <f t="shared" si="30"/>
        <v>0</v>
      </c>
      <c r="Z206" s="1">
        <f t="shared" si="31"/>
        <v>0</v>
      </c>
      <c r="AA206" s="1">
        <f t="shared" si="32"/>
        <v>0</v>
      </c>
    </row>
    <row r="207" spans="2:27" x14ac:dyDescent="0.3">
      <c r="B207" s="12"/>
      <c r="J207" s="13"/>
      <c r="T207" s="1">
        <f t="shared" si="25"/>
        <v>0</v>
      </c>
      <c r="U207" s="1">
        <f t="shared" si="26"/>
        <v>0</v>
      </c>
      <c r="V207" s="1">
        <f t="shared" si="27"/>
        <v>0</v>
      </c>
      <c r="W207" s="1">
        <f t="shared" si="28"/>
        <v>0</v>
      </c>
      <c r="X207" s="1">
        <f t="shared" si="29"/>
        <v>0</v>
      </c>
      <c r="Y207" s="1">
        <f t="shared" si="30"/>
        <v>0</v>
      </c>
      <c r="Z207" s="1">
        <f t="shared" si="31"/>
        <v>0</v>
      </c>
      <c r="AA207" s="1">
        <f t="shared" si="32"/>
        <v>0</v>
      </c>
    </row>
    <row r="208" spans="2:27" x14ac:dyDescent="0.3">
      <c r="B208" s="12"/>
      <c r="J208" s="13"/>
      <c r="T208" s="1">
        <f t="shared" si="25"/>
        <v>0</v>
      </c>
      <c r="U208" s="1">
        <f t="shared" si="26"/>
        <v>0</v>
      </c>
      <c r="V208" s="1">
        <f t="shared" si="27"/>
        <v>0</v>
      </c>
      <c r="W208" s="1">
        <f t="shared" si="28"/>
        <v>0</v>
      </c>
      <c r="X208" s="1">
        <f t="shared" si="29"/>
        <v>0</v>
      </c>
      <c r="Y208" s="1">
        <f t="shared" si="30"/>
        <v>0</v>
      </c>
      <c r="Z208" s="1">
        <f t="shared" si="31"/>
        <v>0</v>
      </c>
      <c r="AA208" s="1">
        <f t="shared" si="32"/>
        <v>0</v>
      </c>
    </row>
    <row r="209" spans="2:27" x14ac:dyDescent="0.3">
      <c r="B209" s="12"/>
      <c r="J209" s="13"/>
      <c r="T209" s="1">
        <f t="shared" si="25"/>
        <v>0</v>
      </c>
      <c r="U209" s="1">
        <f t="shared" si="26"/>
        <v>0</v>
      </c>
      <c r="V209" s="1">
        <f t="shared" si="27"/>
        <v>0</v>
      </c>
      <c r="W209" s="1">
        <f t="shared" si="28"/>
        <v>0</v>
      </c>
      <c r="X209" s="1">
        <f t="shared" si="29"/>
        <v>0</v>
      </c>
      <c r="Y209" s="1">
        <f t="shared" si="30"/>
        <v>0</v>
      </c>
      <c r="Z209" s="1">
        <f t="shared" si="31"/>
        <v>0</v>
      </c>
      <c r="AA209" s="1">
        <f t="shared" si="32"/>
        <v>0</v>
      </c>
    </row>
    <row r="210" spans="2:27" x14ac:dyDescent="0.3">
      <c r="B210" s="12"/>
      <c r="J210" s="13"/>
      <c r="T210" s="1">
        <f t="shared" si="25"/>
        <v>0</v>
      </c>
      <c r="U210" s="1">
        <f t="shared" si="26"/>
        <v>0</v>
      </c>
      <c r="V210" s="1">
        <f t="shared" si="27"/>
        <v>0</v>
      </c>
      <c r="W210" s="1">
        <f t="shared" si="28"/>
        <v>0</v>
      </c>
      <c r="X210" s="1">
        <f t="shared" si="29"/>
        <v>0</v>
      </c>
      <c r="Y210" s="1">
        <f t="shared" si="30"/>
        <v>0</v>
      </c>
      <c r="Z210" s="1">
        <f t="shared" si="31"/>
        <v>0</v>
      </c>
      <c r="AA210" s="1">
        <f t="shared" si="32"/>
        <v>0</v>
      </c>
    </row>
    <row r="211" spans="2:27" x14ac:dyDescent="0.3">
      <c r="B211" s="12"/>
      <c r="J211" s="13"/>
      <c r="T211" s="1">
        <f t="shared" si="25"/>
        <v>0</v>
      </c>
      <c r="U211" s="1">
        <f t="shared" si="26"/>
        <v>0</v>
      </c>
      <c r="V211" s="1">
        <f t="shared" si="27"/>
        <v>0</v>
      </c>
      <c r="W211" s="1">
        <f t="shared" si="28"/>
        <v>0</v>
      </c>
      <c r="X211" s="1">
        <f t="shared" si="29"/>
        <v>0</v>
      </c>
      <c r="Y211" s="1">
        <f t="shared" si="30"/>
        <v>0</v>
      </c>
      <c r="Z211" s="1">
        <f t="shared" si="31"/>
        <v>0</v>
      </c>
      <c r="AA211" s="1">
        <f t="shared" si="32"/>
        <v>0</v>
      </c>
    </row>
    <row r="212" spans="2:27" x14ac:dyDescent="0.3">
      <c r="B212" s="12"/>
      <c r="J212" s="13"/>
      <c r="T212" s="1">
        <f t="shared" si="25"/>
        <v>0</v>
      </c>
      <c r="U212" s="1">
        <f t="shared" si="26"/>
        <v>0</v>
      </c>
      <c r="V212" s="1">
        <f t="shared" si="27"/>
        <v>0</v>
      </c>
      <c r="W212" s="1">
        <f t="shared" si="28"/>
        <v>0</v>
      </c>
      <c r="X212" s="1">
        <f t="shared" si="29"/>
        <v>0</v>
      </c>
      <c r="Y212" s="1">
        <f t="shared" si="30"/>
        <v>0</v>
      </c>
      <c r="Z212" s="1">
        <f t="shared" si="31"/>
        <v>0</v>
      </c>
      <c r="AA212" s="1">
        <f t="shared" si="32"/>
        <v>0</v>
      </c>
    </row>
    <row r="213" spans="2:27" x14ac:dyDescent="0.3">
      <c r="B213" s="12"/>
      <c r="J213" s="13"/>
      <c r="T213" s="1">
        <f t="shared" si="25"/>
        <v>0</v>
      </c>
      <c r="U213" s="1">
        <f t="shared" si="26"/>
        <v>0</v>
      </c>
      <c r="V213" s="1">
        <f t="shared" si="27"/>
        <v>0</v>
      </c>
      <c r="W213" s="1">
        <f t="shared" si="28"/>
        <v>0</v>
      </c>
      <c r="X213" s="1">
        <f t="shared" si="29"/>
        <v>0</v>
      </c>
      <c r="Y213" s="1">
        <f t="shared" si="30"/>
        <v>0</v>
      </c>
      <c r="Z213" s="1">
        <f t="shared" si="31"/>
        <v>0</v>
      </c>
      <c r="AA213" s="1">
        <f t="shared" si="32"/>
        <v>0</v>
      </c>
    </row>
    <row r="214" spans="2:27" x14ac:dyDescent="0.3">
      <c r="B214" s="12"/>
      <c r="J214" s="13"/>
      <c r="T214" s="1">
        <f t="shared" si="25"/>
        <v>0</v>
      </c>
      <c r="U214" s="1">
        <f t="shared" si="26"/>
        <v>0</v>
      </c>
      <c r="V214" s="1">
        <f t="shared" si="27"/>
        <v>0</v>
      </c>
      <c r="W214" s="1">
        <f t="shared" si="28"/>
        <v>0</v>
      </c>
      <c r="X214" s="1">
        <f t="shared" si="29"/>
        <v>0</v>
      </c>
      <c r="Y214" s="1">
        <f t="shared" si="30"/>
        <v>0</v>
      </c>
      <c r="Z214" s="1">
        <f t="shared" si="31"/>
        <v>0</v>
      </c>
      <c r="AA214" s="1">
        <f t="shared" si="32"/>
        <v>0</v>
      </c>
    </row>
    <row r="215" spans="2:27" x14ac:dyDescent="0.3">
      <c r="B215" s="12"/>
      <c r="J215" s="13"/>
      <c r="T215" s="1">
        <f t="shared" si="25"/>
        <v>0</v>
      </c>
      <c r="U215" s="1">
        <f t="shared" si="26"/>
        <v>0</v>
      </c>
      <c r="V215" s="1">
        <f t="shared" si="27"/>
        <v>0</v>
      </c>
      <c r="W215" s="1">
        <f t="shared" si="28"/>
        <v>0</v>
      </c>
      <c r="X215" s="1">
        <f t="shared" si="29"/>
        <v>0</v>
      </c>
      <c r="Y215" s="1">
        <f t="shared" si="30"/>
        <v>0</v>
      </c>
      <c r="Z215" s="1">
        <f t="shared" si="31"/>
        <v>0</v>
      </c>
      <c r="AA215" s="1">
        <f t="shared" si="32"/>
        <v>0</v>
      </c>
    </row>
    <row r="216" spans="2:27" x14ac:dyDescent="0.3">
      <c r="B216" s="12"/>
      <c r="I216" s="14"/>
      <c r="J216" s="13"/>
      <c r="T216" s="1">
        <f t="shared" si="25"/>
        <v>0</v>
      </c>
      <c r="U216" s="1">
        <f t="shared" si="26"/>
        <v>0</v>
      </c>
      <c r="V216" s="1">
        <f t="shared" si="27"/>
        <v>0</v>
      </c>
      <c r="W216" s="1">
        <f t="shared" si="28"/>
        <v>0</v>
      </c>
      <c r="X216" s="1">
        <f t="shared" si="29"/>
        <v>0</v>
      </c>
      <c r="Y216" s="1">
        <f t="shared" si="30"/>
        <v>0</v>
      </c>
      <c r="Z216" s="1">
        <f t="shared" si="31"/>
        <v>0</v>
      </c>
      <c r="AA216" s="1">
        <f t="shared" si="32"/>
        <v>0</v>
      </c>
    </row>
    <row r="217" spans="2:27" x14ac:dyDescent="0.3">
      <c r="B217" s="12"/>
      <c r="J217" s="13"/>
      <c r="T217" s="1">
        <f t="shared" si="25"/>
        <v>0</v>
      </c>
      <c r="U217" s="1">
        <f t="shared" si="26"/>
        <v>0</v>
      </c>
      <c r="V217" s="1">
        <f t="shared" si="27"/>
        <v>0</v>
      </c>
      <c r="W217" s="1">
        <f t="shared" si="28"/>
        <v>0</v>
      </c>
      <c r="X217" s="1">
        <f t="shared" si="29"/>
        <v>0</v>
      </c>
      <c r="Y217" s="1">
        <f t="shared" si="30"/>
        <v>0</v>
      </c>
      <c r="Z217" s="1">
        <f t="shared" si="31"/>
        <v>0</v>
      </c>
      <c r="AA217" s="1">
        <f t="shared" si="32"/>
        <v>0</v>
      </c>
    </row>
    <row r="218" spans="2:27" x14ac:dyDescent="0.3">
      <c r="B218" s="12"/>
      <c r="J218" s="13"/>
      <c r="T218" s="1">
        <f t="shared" si="25"/>
        <v>0</v>
      </c>
      <c r="U218" s="1">
        <f t="shared" si="26"/>
        <v>0</v>
      </c>
      <c r="V218" s="1">
        <f t="shared" si="27"/>
        <v>0</v>
      </c>
      <c r="W218" s="1">
        <f t="shared" si="28"/>
        <v>0</v>
      </c>
      <c r="X218" s="1">
        <f t="shared" si="29"/>
        <v>0</v>
      </c>
      <c r="Y218" s="1">
        <f t="shared" si="30"/>
        <v>0</v>
      </c>
      <c r="Z218" s="1">
        <f t="shared" si="31"/>
        <v>0</v>
      </c>
      <c r="AA218" s="1">
        <f t="shared" si="32"/>
        <v>0</v>
      </c>
    </row>
    <row r="219" spans="2:27" x14ac:dyDescent="0.3">
      <c r="B219" s="12"/>
      <c r="J219" s="13"/>
      <c r="T219" s="1">
        <f t="shared" si="25"/>
        <v>0</v>
      </c>
      <c r="U219" s="1">
        <f t="shared" si="26"/>
        <v>0</v>
      </c>
      <c r="V219" s="1">
        <f t="shared" si="27"/>
        <v>0</v>
      </c>
      <c r="W219" s="1">
        <f t="shared" si="28"/>
        <v>0</v>
      </c>
      <c r="X219" s="1">
        <f t="shared" si="29"/>
        <v>0</v>
      </c>
      <c r="Y219" s="1">
        <f t="shared" si="30"/>
        <v>0</v>
      </c>
      <c r="Z219" s="1">
        <f t="shared" si="31"/>
        <v>0</v>
      </c>
      <c r="AA219" s="1">
        <f t="shared" si="32"/>
        <v>0</v>
      </c>
    </row>
    <row r="220" spans="2:27" x14ac:dyDescent="0.3">
      <c r="B220" s="12"/>
      <c r="J220" s="13"/>
      <c r="T220" s="1">
        <f t="shared" si="25"/>
        <v>0</v>
      </c>
      <c r="U220" s="1">
        <f t="shared" si="26"/>
        <v>0</v>
      </c>
      <c r="V220" s="1">
        <f t="shared" si="27"/>
        <v>0</v>
      </c>
      <c r="W220" s="1">
        <f t="shared" si="28"/>
        <v>0</v>
      </c>
      <c r="X220" s="1">
        <f t="shared" si="29"/>
        <v>0</v>
      </c>
      <c r="Y220" s="1">
        <f t="shared" si="30"/>
        <v>0</v>
      </c>
      <c r="Z220" s="1">
        <f t="shared" si="31"/>
        <v>0</v>
      </c>
      <c r="AA220" s="1">
        <f t="shared" si="32"/>
        <v>0</v>
      </c>
    </row>
    <row r="221" spans="2:27" x14ac:dyDescent="0.3">
      <c r="B221" s="12"/>
      <c r="J221" s="13"/>
      <c r="T221" s="1">
        <f t="shared" si="25"/>
        <v>0</v>
      </c>
      <c r="U221" s="1">
        <f t="shared" si="26"/>
        <v>0</v>
      </c>
      <c r="V221" s="1">
        <f t="shared" si="27"/>
        <v>0</v>
      </c>
      <c r="W221" s="1">
        <f t="shared" si="28"/>
        <v>0</v>
      </c>
      <c r="X221" s="1">
        <f t="shared" si="29"/>
        <v>0</v>
      </c>
      <c r="Y221" s="1">
        <f t="shared" si="30"/>
        <v>0</v>
      </c>
      <c r="Z221" s="1">
        <f t="shared" si="31"/>
        <v>0</v>
      </c>
      <c r="AA221" s="1">
        <f t="shared" si="32"/>
        <v>0</v>
      </c>
    </row>
    <row r="222" spans="2:27" x14ac:dyDescent="0.3">
      <c r="B222" s="12"/>
      <c r="J222" s="13"/>
      <c r="T222" s="1">
        <f t="shared" si="25"/>
        <v>0</v>
      </c>
      <c r="U222" s="1">
        <f t="shared" si="26"/>
        <v>0</v>
      </c>
      <c r="V222" s="1">
        <f t="shared" si="27"/>
        <v>0</v>
      </c>
      <c r="W222" s="1">
        <f t="shared" si="28"/>
        <v>0</v>
      </c>
      <c r="X222" s="1">
        <f t="shared" si="29"/>
        <v>0</v>
      </c>
      <c r="Y222" s="1">
        <f t="shared" si="30"/>
        <v>0</v>
      </c>
      <c r="Z222" s="1">
        <f t="shared" si="31"/>
        <v>0</v>
      </c>
      <c r="AA222" s="1">
        <f t="shared" si="32"/>
        <v>0</v>
      </c>
    </row>
    <row r="223" spans="2:27" x14ac:dyDescent="0.3">
      <c r="B223" s="12"/>
      <c r="J223" s="13"/>
      <c r="T223" s="1">
        <f t="shared" si="25"/>
        <v>0</v>
      </c>
      <c r="U223" s="1">
        <f t="shared" si="26"/>
        <v>0</v>
      </c>
      <c r="V223" s="1">
        <f t="shared" si="27"/>
        <v>0</v>
      </c>
      <c r="W223" s="1">
        <f t="shared" si="28"/>
        <v>0</v>
      </c>
      <c r="X223" s="1">
        <f t="shared" si="29"/>
        <v>0</v>
      </c>
      <c r="Y223" s="1">
        <f t="shared" si="30"/>
        <v>0</v>
      </c>
      <c r="Z223" s="1">
        <f t="shared" si="31"/>
        <v>0</v>
      </c>
      <c r="AA223" s="1">
        <f t="shared" si="32"/>
        <v>0</v>
      </c>
    </row>
    <row r="224" spans="2:27" x14ac:dyDescent="0.3">
      <c r="B224" s="12"/>
      <c r="J224" s="13"/>
      <c r="T224" s="1">
        <f t="shared" si="25"/>
        <v>0</v>
      </c>
      <c r="U224" s="1">
        <f t="shared" si="26"/>
        <v>0</v>
      </c>
      <c r="V224" s="1">
        <f t="shared" si="27"/>
        <v>0</v>
      </c>
      <c r="W224" s="1">
        <f t="shared" si="28"/>
        <v>0</v>
      </c>
      <c r="X224" s="1">
        <f t="shared" si="29"/>
        <v>0</v>
      </c>
      <c r="Y224" s="1">
        <f t="shared" si="30"/>
        <v>0</v>
      </c>
      <c r="Z224" s="1">
        <f t="shared" si="31"/>
        <v>0</v>
      </c>
      <c r="AA224" s="1">
        <f t="shared" si="32"/>
        <v>0</v>
      </c>
    </row>
    <row r="225" spans="2:27" x14ac:dyDescent="0.3">
      <c r="B225" s="12"/>
      <c r="J225" s="13"/>
      <c r="T225" s="1">
        <f t="shared" si="25"/>
        <v>0</v>
      </c>
      <c r="U225" s="1">
        <f t="shared" si="26"/>
        <v>0</v>
      </c>
      <c r="V225" s="1">
        <f t="shared" si="27"/>
        <v>0</v>
      </c>
      <c r="W225" s="1">
        <f t="shared" si="28"/>
        <v>0</v>
      </c>
      <c r="X225" s="1">
        <f t="shared" si="29"/>
        <v>0</v>
      </c>
      <c r="Y225" s="1">
        <f t="shared" si="30"/>
        <v>0</v>
      </c>
      <c r="Z225" s="1">
        <f t="shared" si="31"/>
        <v>0</v>
      </c>
      <c r="AA225" s="1">
        <f t="shared" si="32"/>
        <v>0</v>
      </c>
    </row>
    <row r="226" spans="2:27" x14ac:dyDescent="0.3">
      <c r="B226" s="12"/>
      <c r="J226" s="13"/>
      <c r="T226" s="1">
        <f t="shared" si="25"/>
        <v>0</v>
      </c>
      <c r="U226" s="1">
        <f t="shared" si="26"/>
        <v>0</v>
      </c>
      <c r="V226" s="1">
        <f t="shared" si="27"/>
        <v>0</v>
      </c>
      <c r="W226" s="1">
        <f t="shared" si="28"/>
        <v>0</v>
      </c>
      <c r="X226" s="1">
        <f t="shared" si="29"/>
        <v>0</v>
      </c>
      <c r="Y226" s="1">
        <f t="shared" si="30"/>
        <v>0</v>
      </c>
      <c r="Z226" s="1">
        <f t="shared" si="31"/>
        <v>0</v>
      </c>
      <c r="AA226" s="1">
        <f t="shared" si="32"/>
        <v>0</v>
      </c>
    </row>
    <row r="227" spans="2:27" x14ac:dyDescent="0.3">
      <c r="B227" s="12"/>
      <c r="J227" s="13"/>
      <c r="T227" s="1">
        <f t="shared" si="25"/>
        <v>0</v>
      </c>
      <c r="U227" s="1">
        <f t="shared" si="26"/>
        <v>0</v>
      </c>
      <c r="V227" s="1">
        <f t="shared" si="27"/>
        <v>0</v>
      </c>
      <c r="W227" s="1">
        <f t="shared" si="28"/>
        <v>0</v>
      </c>
      <c r="X227" s="1">
        <f t="shared" si="29"/>
        <v>0</v>
      </c>
      <c r="Y227" s="1">
        <f t="shared" si="30"/>
        <v>0</v>
      </c>
      <c r="Z227" s="1">
        <f t="shared" si="31"/>
        <v>0</v>
      </c>
      <c r="AA227" s="1">
        <f t="shared" si="32"/>
        <v>0</v>
      </c>
    </row>
    <row r="228" spans="2:27" x14ac:dyDescent="0.3">
      <c r="B228" s="12"/>
      <c r="J228" s="13"/>
      <c r="T228" s="1">
        <f t="shared" si="25"/>
        <v>0</v>
      </c>
      <c r="U228" s="1">
        <f t="shared" si="26"/>
        <v>0</v>
      </c>
      <c r="V228" s="1">
        <f t="shared" si="27"/>
        <v>0</v>
      </c>
      <c r="W228" s="1">
        <f t="shared" si="28"/>
        <v>0</v>
      </c>
      <c r="X228" s="1">
        <f t="shared" si="29"/>
        <v>0</v>
      </c>
      <c r="Y228" s="1">
        <f t="shared" si="30"/>
        <v>0</v>
      </c>
      <c r="Z228" s="1">
        <f t="shared" si="31"/>
        <v>0</v>
      </c>
      <c r="AA228" s="1">
        <f t="shared" si="32"/>
        <v>0</v>
      </c>
    </row>
    <row r="229" spans="2:27" x14ac:dyDescent="0.3">
      <c r="B229" s="12"/>
      <c r="J229" s="13"/>
      <c r="T229" s="1">
        <f t="shared" si="25"/>
        <v>0</v>
      </c>
      <c r="U229" s="1">
        <f t="shared" si="26"/>
        <v>0</v>
      </c>
      <c r="V229" s="1">
        <f t="shared" si="27"/>
        <v>0</v>
      </c>
      <c r="W229" s="1">
        <f t="shared" si="28"/>
        <v>0</v>
      </c>
      <c r="X229" s="1">
        <f t="shared" si="29"/>
        <v>0</v>
      </c>
      <c r="Y229" s="1">
        <f t="shared" si="30"/>
        <v>0</v>
      </c>
      <c r="Z229" s="1">
        <f t="shared" si="31"/>
        <v>0</v>
      </c>
      <c r="AA229" s="1">
        <f t="shared" si="32"/>
        <v>0</v>
      </c>
    </row>
    <row r="230" spans="2:27" x14ac:dyDescent="0.3">
      <c r="B230" s="12"/>
      <c r="J230" s="13"/>
      <c r="T230" s="1">
        <f t="shared" si="25"/>
        <v>0</v>
      </c>
      <c r="U230" s="1">
        <f t="shared" si="26"/>
        <v>0</v>
      </c>
      <c r="V230" s="1">
        <f t="shared" si="27"/>
        <v>0</v>
      </c>
      <c r="W230" s="1">
        <f t="shared" si="28"/>
        <v>0</v>
      </c>
      <c r="X230" s="1">
        <f t="shared" si="29"/>
        <v>0</v>
      </c>
      <c r="Y230" s="1">
        <f t="shared" si="30"/>
        <v>0</v>
      </c>
      <c r="Z230" s="1">
        <f t="shared" si="31"/>
        <v>0</v>
      </c>
      <c r="AA230" s="1">
        <f t="shared" si="32"/>
        <v>0</v>
      </c>
    </row>
    <row r="231" spans="2:27" x14ac:dyDescent="0.3">
      <c r="B231" s="12"/>
      <c r="I231" s="14"/>
      <c r="J231" s="13"/>
      <c r="T231" s="1">
        <f t="shared" si="25"/>
        <v>0</v>
      </c>
      <c r="U231" s="1">
        <f t="shared" si="26"/>
        <v>0</v>
      </c>
      <c r="V231" s="1">
        <f t="shared" si="27"/>
        <v>0</v>
      </c>
      <c r="W231" s="1">
        <f t="shared" si="28"/>
        <v>0</v>
      </c>
      <c r="X231" s="1">
        <f t="shared" si="29"/>
        <v>0</v>
      </c>
      <c r="Y231" s="1">
        <f t="shared" si="30"/>
        <v>0</v>
      </c>
      <c r="Z231" s="1">
        <f t="shared" si="31"/>
        <v>0</v>
      </c>
      <c r="AA231" s="1">
        <f t="shared" si="32"/>
        <v>0</v>
      </c>
    </row>
    <row r="232" spans="2:27" x14ac:dyDescent="0.3">
      <c r="B232" s="12"/>
      <c r="I232" s="14"/>
      <c r="J232" s="13"/>
      <c r="T232" s="1">
        <f t="shared" si="25"/>
        <v>0</v>
      </c>
      <c r="U232" s="1">
        <f t="shared" si="26"/>
        <v>0</v>
      </c>
      <c r="V232" s="1">
        <f t="shared" si="27"/>
        <v>0</v>
      </c>
      <c r="W232" s="1">
        <f t="shared" si="28"/>
        <v>0</v>
      </c>
      <c r="X232" s="1">
        <f t="shared" si="29"/>
        <v>0</v>
      </c>
      <c r="Y232" s="1">
        <f t="shared" si="30"/>
        <v>0</v>
      </c>
      <c r="Z232" s="1">
        <f t="shared" si="31"/>
        <v>0</v>
      </c>
      <c r="AA232" s="1">
        <f t="shared" si="32"/>
        <v>0</v>
      </c>
    </row>
    <row r="233" spans="2:27" x14ac:dyDescent="0.3">
      <c r="B233" s="12"/>
      <c r="I233" s="14"/>
      <c r="J233" s="13"/>
      <c r="T233" s="1">
        <f t="shared" si="25"/>
        <v>0</v>
      </c>
      <c r="U233" s="1">
        <f t="shared" si="26"/>
        <v>0</v>
      </c>
      <c r="V233" s="1">
        <f t="shared" si="27"/>
        <v>0</v>
      </c>
      <c r="W233" s="1">
        <f t="shared" si="28"/>
        <v>0</v>
      </c>
      <c r="X233" s="1">
        <f t="shared" si="29"/>
        <v>0</v>
      </c>
      <c r="Y233" s="1">
        <f t="shared" si="30"/>
        <v>0</v>
      </c>
      <c r="Z233" s="1">
        <f t="shared" si="31"/>
        <v>0</v>
      </c>
      <c r="AA233" s="1">
        <f t="shared" si="32"/>
        <v>0</v>
      </c>
    </row>
    <row r="234" spans="2:27" x14ac:dyDescent="0.3">
      <c r="B234" s="12"/>
      <c r="I234" s="14"/>
      <c r="J234" s="13"/>
      <c r="T234" s="1">
        <f t="shared" si="25"/>
        <v>0</v>
      </c>
      <c r="U234" s="1">
        <f t="shared" si="26"/>
        <v>0</v>
      </c>
      <c r="V234" s="1">
        <f t="shared" si="27"/>
        <v>0</v>
      </c>
      <c r="W234" s="1">
        <f t="shared" si="28"/>
        <v>0</v>
      </c>
      <c r="X234" s="1">
        <f t="shared" si="29"/>
        <v>0</v>
      </c>
      <c r="Y234" s="1">
        <f t="shared" si="30"/>
        <v>0</v>
      </c>
      <c r="Z234" s="1">
        <f t="shared" si="31"/>
        <v>0</v>
      </c>
      <c r="AA234" s="1">
        <f t="shared" si="32"/>
        <v>0</v>
      </c>
    </row>
    <row r="235" spans="2:27" x14ac:dyDescent="0.3">
      <c r="B235" s="12"/>
      <c r="I235" s="14"/>
      <c r="J235" s="13"/>
      <c r="T235" s="1">
        <f t="shared" si="25"/>
        <v>0</v>
      </c>
      <c r="U235" s="1">
        <f t="shared" si="26"/>
        <v>0</v>
      </c>
      <c r="V235" s="1">
        <f t="shared" si="27"/>
        <v>0</v>
      </c>
      <c r="W235" s="1">
        <f t="shared" si="28"/>
        <v>0</v>
      </c>
      <c r="X235" s="1">
        <f t="shared" si="29"/>
        <v>0</v>
      </c>
      <c r="Y235" s="1">
        <f t="shared" si="30"/>
        <v>0</v>
      </c>
      <c r="Z235" s="1">
        <f t="shared" si="31"/>
        <v>0</v>
      </c>
      <c r="AA235" s="1">
        <f t="shared" si="32"/>
        <v>0</v>
      </c>
    </row>
    <row r="236" spans="2:27" x14ac:dyDescent="0.3">
      <c r="B236" s="12"/>
      <c r="I236" s="14"/>
      <c r="J236" s="13"/>
      <c r="T236" s="1">
        <f t="shared" si="25"/>
        <v>0</v>
      </c>
      <c r="U236" s="1">
        <f t="shared" si="26"/>
        <v>0</v>
      </c>
      <c r="V236" s="1">
        <f t="shared" si="27"/>
        <v>0</v>
      </c>
      <c r="W236" s="1">
        <f t="shared" si="28"/>
        <v>0</v>
      </c>
      <c r="X236" s="1">
        <f t="shared" si="29"/>
        <v>0</v>
      </c>
      <c r="Y236" s="1">
        <f t="shared" si="30"/>
        <v>0</v>
      </c>
      <c r="Z236" s="1">
        <f t="shared" si="31"/>
        <v>0</v>
      </c>
      <c r="AA236" s="1">
        <f t="shared" si="32"/>
        <v>0</v>
      </c>
    </row>
    <row r="237" spans="2:27" x14ac:dyDescent="0.3">
      <c r="B237" s="12"/>
      <c r="I237" s="14"/>
      <c r="J237" s="13"/>
      <c r="T237" s="1">
        <f t="shared" si="25"/>
        <v>0</v>
      </c>
      <c r="U237" s="1">
        <f t="shared" si="26"/>
        <v>0</v>
      </c>
      <c r="V237" s="1">
        <f t="shared" si="27"/>
        <v>0</v>
      </c>
      <c r="W237" s="1">
        <f t="shared" si="28"/>
        <v>0</v>
      </c>
      <c r="X237" s="1">
        <f t="shared" si="29"/>
        <v>0</v>
      </c>
      <c r="Y237" s="1">
        <f t="shared" si="30"/>
        <v>0</v>
      </c>
      <c r="Z237" s="1">
        <f t="shared" si="31"/>
        <v>0</v>
      </c>
      <c r="AA237" s="1">
        <f t="shared" si="32"/>
        <v>0</v>
      </c>
    </row>
    <row r="238" spans="2:27" x14ac:dyDescent="0.3">
      <c r="B238" s="12"/>
      <c r="I238" s="14"/>
      <c r="J238" s="13"/>
      <c r="T238" s="1">
        <f t="shared" si="25"/>
        <v>0</v>
      </c>
      <c r="U238" s="1">
        <f t="shared" si="26"/>
        <v>0</v>
      </c>
      <c r="V238" s="1">
        <f t="shared" si="27"/>
        <v>0</v>
      </c>
      <c r="W238" s="1">
        <f t="shared" si="28"/>
        <v>0</v>
      </c>
      <c r="X238" s="1">
        <f t="shared" si="29"/>
        <v>0</v>
      </c>
      <c r="Y238" s="1">
        <f t="shared" si="30"/>
        <v>0</v>
      </c>
      <c r="Z238" s="1">
        <f t="shared" si="31"/>
        <v>0</v>
      </c>
      <c r="AA238" s="1">
        <f t="shared" si="32"/>
        <v>0</v>
      </c>
    </row>
    <row r="239" spans="2:27" x14ac:dyDescent="0.3">
      <c r="B239" s="12"/>
      <c r="I239" s="14"/>
      <c r="J239" s="13"/>
      <c r="T239" s="1">
        <f t="shared" si="25"/>
        <v>0</v>
      </c>
      <c r="U239" s="1">
        <f t="shared" si="26"/>
        <v>0</v>
      </c>
      <c r="V239" s="1">
        <f t="shared" si="27"/>
        <v>0</v>
      </c>
      <c r="W239" s="1">
        <f t="shared" si="28"/>
        <v>0</v>
      </c>
      <c r="X239" s="1">
        <f t="shared" si="29"/>
        <v>0</v>
      </c>
      <c r="Y239" s="1">
        <f t="shared" si="30"/>
        <v>0</v>
      </c>
      <c r="Z239" s="1">
        <f t="shared" si="31"/>
        <v>0</v>
      </c>
      <c r="AA239" s="1">
        <f t="shared" si="32"/>
        <v>0</v>
      </c>
    </row>
    <row r="240" spans="2:27" x14ac:dyDescent="0.3">
      <c r="B240" s="12"/>
      <c r="I240" s="14"/>
      <c r="J240" s="13"/>
      <c r="T240" s="1">
        <f t="shared" si="25"/>
        <v>0</v>
      </c>
      <c r="U240" s="1">
        <f t="shared" si="26"/>
        <v>0</v>
      </c>
      <c r="V240" s="1">
        <f t="shared" si="27"/>
        <v>0</v>
      </c>
      <c r="W240" s="1">
        <f t="shared" si="28"/>
        <v>0</v>
      </c>
      <c r="X240" s="1">
        <f t="shared" si="29"/>
        <v>0</v>
      </c>
      <c r="Y240" s="1">
        <f t="shared" si="30"/>
        <v>0</v>
      </c>
      <c r="Z240" s="1">
        <f t="shared" si="31"/>
        <v>0</v>
      </c>
      <c r="AA240" s="1">
        <f t="shared" si="32"/>
        <v>0</v>
      </c>
    </row>
    <row r="241" spans="2:27" x14ac:dyDescent="0.3">
      <c r="B241" s="12"/>
      <c r="I241" s="14"/>
      <c r="J241" s="13"/>
      <c r="T241" s="1">
        <f t="shared" si="25"/>
        <v>0</v>
      </c>
      <c r="U241" s="1">
        <f t="shared" si="26"/>
        <v>0</v>
      </c>
      <c r="V241" s="1">
        <f t="shared" si="27"/>
        <v>0</v>
      </c>
      <c r="W241" s="1">
        <f t="shared" si="28"/>
        <v>0</v>
      </c>
      <c r="X241" s="1">
        <f t="shared" si="29"/>
        <v>0</v>
      </c>
      <c r="Y241" s="1">
        <f t="shared" si="30"/>
        <v>0</v>
      </c>
      <c r="Z241" s="1">
        <f t="shared" si="31"/>
        <v>0</v>
      </c>
      <c r="AA241" s="1">
        <f t="shared" si="32"/>
        <v>0</v>
      </c>
    </row>
    <row r="242" spans="2:27" x14ac:dyDescent="0.3">
      <c r="B242" s="12"/>
      <c r="I242" s="14"/>
      <c r="J242" s="13"/>
      <c r="T242" s="1">
        <f t="shared" si="25"/>
        <v>0</v>
      </c>
      <c r="U242" s="1">
        <f t="shared" si="26"/>
        <v>0</v>
      </c>
      <c r="V242" s="1">
        <f t="shared" si="27"/>
        <v>0</v>
      </c>
      <c r="W242" s="1">
        <f t="shared" si="28"/>
        <v>0</v>
      </c>
      <c r="X242" s="1">
        <f t="shared" si="29"/>
        <v>0</v>
      </c>
      <c r="Y242" s="1">
        <f t="shared" si="30"/>
        <v>0</v>
      </c>
      <c r="Z242" s="1">
        <f t="shared" si="31"/>
        <v>0</v>
      </c>
      <c r="AA242" s="1">
        <f t="shared" si="32"/>
        <v>0</v>
      </c>
    </row>
    <row r="243" spans="2:27" x14ac:dyDescent="0.3">
      <c r="B243" s="12"/>
      <c r="I243" s="14"/>
      <c r="J243" s="13"/>
      <c r="T243" s="1">
        <f t="shared" si="25"/>
        <v>0</v>
      </c>
      <c r="U243" s="1">
        <f t="shared" si="26"/>
        <v>0</v>
      </c>
      <c r="V243" s="1">
        <f t="shared" si="27"/>
        <v>0</v>
      </c>
      <c r="W243" s="1">
        <f t="shared" si="28"/>
        <v>0</v>
      </c>
      <c r="X243" s="1">
        <f t="shared" si="29"/>
        <v>0</v>
      </c>
      <c r="Y243" s="1">
        <f t="shared" si="30"/>
        <v>0</v>
      </c>
      <c r="Z243" s="1">
        <f t="shared" si="31"/>
        <v>0</v>
      </c>
      <c r="AA243" s="1">
        <f t="shared" si="32"/>
        <v>0</v>
      </c>
    </row>
    <row r="244" spans="2:27" x14ac:dyDescent="0.3">
      <c r="B244" s="12"/>
      <c r="I244" s="14"/>
      <c r="J244" s="13"/>
      <c r="T244" s="1">
        <f t="shared" si="25"/>
        <v>0</v>
      </c>
      <c r="U244" s="1">
        <f t="shared" si="26"/>
        <v>0</v>
      </c>
      <c r="V244" s="1">
        <f t="shared" si="27"/>
        <v>0</v>
      </c>
      <c r="W244" s="1">
        <f t="shared" si="28"/>
        <v>0</v>
      </c>
      <c r="X244" s="1">
        <f t="shared" si="29"/>
        <v>0</v>
      </c>
      <c r="Y244" s="1">
        <f t="shared" si="30"/>
        <v>0</v>
      </c>
      <c r="Z244" s="1">
        <f t="shared" si="31"/>
        <v>0</v>
      </c>
      <c r="AA244" s="1">
        <f t="shared" si="32"/>
        <v>0</v>
      </c>
    </row>
    <row r="245" spans="2:27" x14ac:dyDescent="0.3">
      <c r="B245" s="12"/>
      <c r="I245" s="14"/>
      <c r="J245" s="13"/>
      <c r="T245" s="1">
        <f t="shared" si="25"/>
        <v>0</v>
      </c>
      <c r="U245" s="1">
        <f t="shared" si="26"/>
        <v>0</v>
      </c>
      <c r="V245" s="1">
        <f t="shared" si="27"/>
        <v>0</v>
      </c>
      <c r="W245" s="1">
        <f t="shared" si="28"/>
        <v>0</v>
      </c>
      <c r="X245" s="1">
        <f t="shared" si="29"/>
        <v>0</v>
      </c>
      <c r="Y245" s="1">
        <f t="shared" si="30"/>
        <v>0</v>
      </c>
      <c r="Z245" s="1">
        <f t="shared" si="31"/>
        <v>0</v>
      </c>
      <c r="AA245" s="1">
        <f t="shared" si="32"/>
        <v>0</v>
      </c>
    </row>
    <row r="246" spans="2:27" x14ac:dyDescent="0.3">
      <c r="B246" s="12"/>
      <c r="I246" s="14"/>
      <c r="J246" s="13"/>
      <c r="T246" s="1">
        <f t="shared" si="25"/>
        <v>0</v>
      </c>
      <c r="U246" s="1">
        <f t="shared" si="26"/>
        <v>0</v>
      </c>
      <c r="V246" s="1">
        <f t="shared" si="27"/>
        <v>0</v>
      </c>
      <c r="W246" s="1">
        <f t="shared" si="28"/>
        <v>0</v>
      </c>
      <c r="X246" s="1">
        <f t="shared" si="29"/>
        <v>0</v>
      </c>
      <c r="Y246" s="1">
        <f t="shared" si="30"/>
        <v>0</v>
      </c>
      <c r="Z246" s="1">
        <f t="shared" si="31"/>
        <v>0</v>
      </c>
      <c r="AA246" s="1">
        <f t="shared" si="32"/>
        <v>0</v>
      </c>
    </row>
    <row r="247" spans="2:27" x14ac:dyDescent="0.3">
      <c r="B247" s="12"/>
      <c r="I247" s="14"/>
      <c r="J247" s="13"/>
      <c r="T247" s="1">
        <f t="shared" si="25"/>
        <v>0</v>
      </c>
      <c r="U247" s="1">
        <f t="shared" si="26"/>
        <v>0</v>
      </c>
      <c r="V247" s="1">
        <f t="shared" si="27"/>
        <v>0</v>
      </c>
      <c r="W247" s="1">
        <f t="shared" si="28"/>
        <v>0</v>
      </c>
      <c r="X247" s="1">
        <f t="shared" si="29"/>
        <v>0</v>
      </c>
      <c r="Y247" s="1">
        <f t="shared" si="30"/>
        <v>0</v>
      </c>
      <c r="Z247" s="1">
        <f t="shared" si="31"/>
        <v>0</v>
      </c>
      <c r="AA247" s="1">
        <f t="shared" si="32"/>
        <v>0</v>
      </c>
    </row>
    <row r="248" spans="2:27" x14ac:dyDescent="0.3">
      <c r="B248" s="12"/>
      <c r="I248" s="14"/>
      <c r="J248" s="13"/>
      <c r="T248" s="1">
        <f t="shared" si="25"/>
        <v>0</v>
      </c>
      <c r="U248" s="1">
        <f t="shared" si="26"/>
        <v>0</v>
      </c>
      <c r="V248" s="1">
        <f t="shared" si="27"/>
        <v>0</v>
      </c>
      <c r="W248" s="1">
        <f t="shared" si="28"/>
        <v>0</v>
      </c>
      <c r="X248" s="1">
        <f t="shared" si="29"/>
        <v>0</v>
      </c>
      <c r="Y248" s="1">
        <f t="shared" si="30"/>
        <v>0</v>
      </c>
      <c r="Z248" s="1">
        <f t="shared" si="31"/>
        <v>0</v>
      </c>
      <c r="AA248" s="1">
        <f t="shared" si="32"/>
        <v>0</v>
      </c>
    </row>
    <row r="249" spans="2:27" x14ac:dyDescent="0.3">
      <c r="B249" s="12"/>
      <c r="I249" s="14"/>
      <c r="J249" s="13"/>
      <c r="T249" s="1">
        <f t="shared" si="25"/>
        <v>0</v>
      </c>
      <c r="U249" s="1">
        <f t="shared" si="26"/>
        <v>0</v>
      </c>
      <c r="V249" s="1">
        <f t="shared" si="27"/>
        <v>0</v>
      </c>
      <c r="W249" s="1">
        <f t="shared" si="28"/>
        <v>0</v>
      </c>
      <c r="X249" s="1">
        <f t="shared" si="29"/>
        <v>0</v>
      </c>
      <c r="Y249" s="1">
        <f t="shared" si="30"/>
        <v>0</v>
      </c>
      <c r="Z249" s="1">
        <f t="shared" si="31"/>
        <v>0</v>
      </c>
      <c r="AA249" s="1">
        <f t="shared" si="32"/>
        <v>0</v>
      </c>
    </row>
    <row r="250" spans="2:27" x14ac:dyDescent="0.3">
      <c r="B250" s="12"/>
      <c r="I250" s="14"/>
      <c r="J250" s="13"/>
      <c r="T250" s="1">
        <f t="shared" si="25"/>
        <v>0</v>
      </c>
      <c r="U250" s="1">
        <f t="shared" si="26"/>
        <v>0</v>
      </c>
      <c r="V250" s="1">
        <f t="shared" si="27"/>
        <v>0</v>
      </c>
      <c r="W250" s="1">
        <f t="shared" si="28"/>
        <v>0</v>
      </c>
      <c r="X250" s="1">
        <f t="shared" si="29"/>
        <v>0</v>
      </c>
      <c r="Y250" s="1">
        <f t="shared" si="30"/>
        <v>0</v>
      </c>
      <c r="Z250" s="1">
        <f t="shared" si="31"/>
        <v>0</v>
      </c>
      <c r="AA250" s="1">
        <f t="shared" si="32"/>
        <v>0</v>
      </c>
    </row>
    <row r="251" spans="2:27" x14ac:dyDescent="0.3">
      <c r="B251" s="12"/>
      <c r="I251" s="14"/>
      <c r="J251" s="13"/>
      <c r="T251" s="1">
        <f t="shared" si="25"/>
        <v>0</v>
      </c>
      <c r="U251" s="1">
        <f t="shared" si="26"/>
        <v>0</v>
      </c>
      <c r="V251" s="1">
        <f t="shared" si="27"/>
        <v>0</v>
      </c>
      <c r="W251" s="1">
        <f t="shared" si="28"/>
        <v>0</v>
      </c>
      <c r="X251" s="1">
        <f t="shared" si="29"/>
        <v>0</v>
      </c>
      <c r="Y251" s="1">
        <f t="shared" si="30"/>
        <v>0</v>
      </c>
      <c r="Z251" s="1">
        <f t="shared" si="31"/>
        <v>0</v>
      </c>
      <c r="AA251" s="1">
        <f t="shared" si="32"/>
        <v>0</v>
      </c>
    </row>
    <row r="252" spans="2:27" x14ac:dyDescent="0.3">
      <c r="B252" s="12"/>
      <c r="I252" s="14"/>
      <c r="J252" s="13"/>
      <c r="T252" s="1">
        <f t="shared" si="25"/>
        <v>0</v>
      </c>
      <c r="U252" s="1">
        <f t="shared" si="26"/>
        <v>0</v>
      </c>
      <c r="V252" s="1">
        <f t="shared" si="27"/>
        <v>0</v>
      </c>
      <c r="W252" s="1">
        <f t="shared" si="28"/>
        <v>0</v>
      </c>
      <c r="X252" s="1">
        <f t="shared" si="29"/>
        <v>0</v>
      </c>
      <c r="Y252" s="1">
        <f t="shared" si="30"/>
        <v>0</v>
      </c>
      <c r="Z252" s="1">
        <f t="shared" si="31"/>
        <v>0</v>
      </c>
      <c r="AA252" s="1">
        <f t="shared" si="32"/>
        <v>0</v>
      </c>
    </row>
    <row r="253" spans="2:27" x14ac:dyDescent="0.3">
      <c r="B253" s="12"/>
      <c r="I253" s="14"/>
      <c r="J253" s="13"/>
      <c r="T253" s="1">
        <f t="shared" si="25"/>
        <v>0</v>
      </c>
      <c r="U253" s="1">
        <f t="shared" si="26"/>
        <v>0</v>
      </c>
      <c r="V253" s="1">
        <f t="shared" si="27"/>
        <v>0</v>
      </c>
      <c r="W253" s="1">
        <f t="shared" si="28"/>
        <v>0</v>
      </c>
      <c r="X253" s="1">
        <f t="shared" si="29"/>
        <v>0</v>
      </c>
      <c r="Y253" s="1">
        <f t="shared" si="30"/>
        <v>0</v>
      </c>
      <c r="Z253" s="1">
        <f t="shared" si="31"/>
        <v>0</v>
      </c>
      <c r="AA253" s="1">
        <f t="shared" si="32"/>
        <v>0</v>
      </c>
    </row>
    <row r="254" spans="2:27" x14ac:dyDescent="0.3">
      <c r="B254" s="12"/>
      <c r="I254" s="14"/>
      <c r="J254" s="13"/>
      <c r="T254" s="1">
        <f t="shared" si="25"/>
        <v>0</v>
      </c>
      <c r="U254" s="1">
        <f t="shared" si="26"/>
        <v>0</v>
      </c>
      <c r="V254" s="1">
        <f t="shared" si="27"/>
        <v>0</v>
      </c>
      <c r="W254" s="1">
        <f t="shared" si="28"/>
        <v>0</v>
      </c>
      <c r="X254" s="1">
        <f t="shared" si="29"/>
        <v>0</v>
      </c>
      <c r="Y254" s="1">
        <f t="shared" si="30"/>
        <v>0</v>
      </c>
      <c r="Z254" s="1">
        <f t="shared" si="31"/>
        <v>0</v>
      </c>
      <c r="AA254" s="1">
        <f t="shared" si="32"/>
        <v>0</v>
      </c>
    </row>
    <row r="255" spans="2:27" x14ac:dyDescent="0.3">
      <c r="B255" s="12"/>
      <c r="I255" s="14"/>
      <c r="J255" s="13"/>
      <c r="T255" s="1">
        <f t="shared" si="25"/>
        <v>0</v>
      </c>
      <c r="U255" s="1">
        <f t="shared" si="26"/>
        <v>0</v>
      </c>
      <c r="V255" s="1">
        <f t="shared" si="27"/>
        <v>0</v>
      </c>
      <c r="W255" s="1">
        <f t="shared" si="28"/>
        <v>0</v>
      </c>
      <c r="X255" s="1">
        <f t="shared" si="29"/>
        <v>0</v>
      </c>
      <c r="Y255" s="1">
        <f t="shared" si="30"/>
        <v>0</v>
      </c>
      <c r="Z255" s="1">
        <f t="shared" si="31"/>
        <v>0</v>
      </c>
      <c r="AA255" s="1">
        <f t="shared" si="32"/>
        <v>0</v>
      </c>
    </row>
    <row r="256" spans="2:27" x14ac:dyDescent="0.3">
      <c r="B256" s="12"/>
      <c r="I256" s="14"/>
      <c r="J256" s="13"/>
      <c r="T256" s="1">
        <f t="shared" si="25"/>
        <v>0</v>
      </c>
      <c r="U256" s="1">
        <f t="shared" si="26"/>
        <v>0</v>
      </c>
      <c r="V256" s="1">
        <f t="shared" si="27"/>
        <v>0</v>
      </c>
      <c r="W256" s="1">
        <f t="shared" si="28"/>
        <v>0</v>
      </c>
      <c r="X256" s="1">
        <f t="shared" si="29"/>
        <v>0</v>
      </c>
      <c r="Y256" s="1">
        <f t="shared" si="30"/>
        <v>0</v>
      </c>
      <c r="Z256" s="1">
        <f t="shared" si="31"/>
        <v>0</v>
      </c>
      <c r="AA256" s="1">
        <f t="shared" si="32"/>
        <v>0</v>
      </c>
    </row>
    <row r="257" spans="2:27" x14ac:dyDescent="0.3">
      <c r="B257" s="12"/>
      <c r="I257" s="14"/>
      <c r="J257" s="13"/>
      <c r="T257" s="1">
        <f t="shared" si="25"/>
        <v>0</v>
      </c>
      <c r="U257" s="1">
        <f t="shared" si="26"/>
        <v>0</v>
      </c>
      <c r="V257" s="1">
        <f t="shared" si="27"/>
        <v>0</v>
      </c>
      <c r="W257" s="1">
        <f t="shared" si="28"/>
        <v>0</v>
      </c>
      <c r="X257" s="1">
        <f t="shared" si="29"/>
        <v>0</v>
      </c>
      <c r="Y257" s="1">
        <f t="shared" si="30"/>
        <v>0</v>
      </c>
      <c r="Z257" s="1">
        <f t="shared" si="31"/>
        <v>0</v>
      </c>
      <c r="AA257" s="1">
        <f t="shared" si="32"/>
        <v>0</v>
      </c>
    </row>
    <row r="258" spans="2:27" x14ac:dyDescent="0.3">
      <c r="B258" s="12"/>
      <c r="I258" s="14"/>
      <c r="J258" s="13"/>
      <c r="T258" s="1">
        <f t="shared" si="25"/>
        <v>0</v>
      </c>
      <c r="U258" s="1">
        <f t="shared" si="26"/>
        <v>0</v>
      </c>
      <c r="V258" s="1">
        <f t="shared" si="27"/>
        <v>0</v>
      </c>
      <c r="W258" s="1">
        <f t="shared" si="28"/>
        <v>0</v>
      </c>
      <c r="X258" s="1">
        <f t="shared" si="29"/>
        <v>0</v>
      </c>
      <c r="Y258" s="1">
        <f t="shared" si="30"/>
        <v>0</v>
      </c>
      <c r="Z258" s="1">
        <f t="shared" si="31"/>
        <v>0</v>
      </c>
      <c r="AA258" s="1">
        <f t="shared" si="32"/>
        <v>0</v>
      </c>
    </row>
    <row r="259" spans="2:27" x14ac:dyDescent="0.3">
      <c r="B259" s="12"/>
      <c r="I259" s="14"/>
      <c r="J259" s="13"/>
      <c r="T259" s="1">
        <f t="shared" si="25"/>
        <v>0</v>
      </c>
      <c r="U259" s="1">
        <f t="shared" si="26"/>
        <v>0</v>
      </c>
      <c r="V259" s="1">
        <f t="shared" si="27"/>
        <v>0</v>
      </c>
      <c r="W259" s="1">
        <f t="shared" si="28"/>
        <v>0</v>
      </c>
      <c r="X259" s="1">
        <f t="shared" si="29"/>
        <v>0</v>
      </c>
      <c r="Y259" s="1">
        <f t="shared" si="30"/>
        <v>0</v>
      </c>
      <c r="Z259" s="1">
        <f t="shared" si="31"/>
        <v>0</v>
      </c>
      <c r="AA259" s="1">
        <f t="shared" si="32"/>
        <v>0</v>
      </c>
    </row>
    <row r="260" spans="2:27" x14ac:dyDescent="0.3">
      <c r="B260" s="12"/>
      <c r="J260" s="13"/>
      <c r="T260" s="1">
        <f t="shared" si="25"/>
        <v>0</v>
      </c>
      <c r="U260" s="1">
        <f t="shared" si="26"/>
        <v>0</v>
      </c>
      <c r="V260" s="1">
        <f t="shared" si="27"/>
        <v>0</v>
      </c>
      <c r="W260" s="1">
        <f t="shared" si="28"/>
        <v>0</v>
      </c>
      <c r="X260" s="1">
        <f t="shared" si="29"/>
        <v>0</v>
      </c>
      <c r="Y260" s="1">
        <f t="shared" si="30"/>
        <v>0</v>
      </c>
      <c r="Z260" s="1">
        <f t="shared" si="31"/>
        <v>0</v>
      </c>
      <c r="AA260" s="1">
        <f t="shared" si="32"/>
        <v>0</v>
      </c>
    </row>
    <row r="261" spans="2:27" x14ac:dyDescent="0.3">
      <c r="B261" s="12"/>
      <c r="J261" s="13"/>
      <c r="T261" s="1">
        <f t="shared" si="25"/>
        <v>0</v>
      </c>
      <c r="U261" s="1">
        <f t="shared" si="26"/>
        <v>0</v>
      </c>
      <c r="V261" s="1">
        <f t="shared" si="27"/>
        <v>0</v>
      </c>
      <c r="W261" s="1">
        <f t="shared" si="28"/>
        <v>0</v>
      </c>
      <c r="X261" s="1">
        <f t="shared" si="29"/>
        <v>0</v>
      </c>
      <c r="Y261" s="1">
        <f t="shared" si="30"/>
        <v>0</v>
      </c>
      <c r="Z261" s="1">
        <f t="shared" si="31"/>
        <v>0</v>
      </c>
      <c r="AA261" s="1">
        <f t="shared" si="32"/>
        <v>0</v>
      </c>
    </row>
    <row r="262" spans="2:27" x14ac:dyDescent="0.3">
      <c r="B262" s="12"/>
      <c r="J262" s="13"/>
      <c r="T262" s="1">
        <f t="shared" si="25"/>
        <v>0</v>
      </c>
      <c r="U262" s="1">
        <f t="shared" si="26"/>
        <v>0</v>
      </c>
      <c r="V262" s="1">
        <f t="shared" si="27"/>
        <v>0</v>
      </c>
      <c r="W262" s="1">
        <f t="shared" si="28"/>
        <v>0</v>
      </c>
      <c r="X262" s="1">
        <f t="shared" si="29"/>
        <v>0</v>
      </c>
      <c r="Y262" s="1">
        <f t="shared" si="30"/>
        <v>0</v>
      </c>
      <c r="Z262" s="1">
        <f t="shared" si="31"/>
        <v>0</v>
      </c>
      <c r="AA262" s="1">
        <f t="shared" si="32"/>
        <v>0</v>
      </c>
    </row>
    <row r="263" spans="2:27" x14ac:dyDescent="0.3">
      <c r="B263" s="12"/>
      <c r="J263" s="13"/>
      <c r="T263" s="1">
        <f t="shared" ref="T263:T326" si="33">IF(AND(G263="-"),0,G263*F263)</f>
        <v>0</v>
      </c>
      <c r="U263" s="1">
        <f t="shared" ref="U263:U326" si="34">IF(AND(O263="-"),0,O263*N263)</f>
        <v>0</v>
      </c>
      <c r="V263" s="1">
        <f t="shared" ref="V263:V326" si="35">IFERROR(C263*H263,0)</f>
        <v>0</v>
      </c>
      <c r="W263" s="1">
        <f t="shared" ref="W263:W326" si="36">IFERROR(K263*P263,0)</f>
        <v>0</v>
      </c>
      <c r="X263" s="1">
        <f t="shared" ref="X263:X326" si="37">IFERROR(G263*1,0)</f>
        <v>0</v>
      </c>
      <c r="Y263" s="1">
        <f t="shared" ref="Y263:Y326" si="38">IFERROR(O263*1,0)</f>
        <v>0</v>
      </c>
      <c r="Z263" s="1">
        <f t="shared" ref="Z263:Z326" si="39">IFERROR(H263*1,0)</f>
        <v>0</v>
      </c>
      <c r="AA263" s="1">
        <f t="shared" ref="AA263:AA326" si="40">IFERROR(P263*1,0)</f>
        <v>0</v>
      </c>
    </row>
    <row r="264" spans="2:27" x14ac:dyDescent="0.3">
      <c r="B264" s="12"/>
      <c r="J264" s="13"/>
      <c r="T264" s="1">
        <f t="shared" si="33"/>
        <v>0</v>
      </c>
      <c r="U264" s="1">
        <f t="shared" si="34"/>
        <v>0</v>
      </c>
      <c r="V264" s="1">
        <f t="shared" si="35"/>
        <v>0</v>
      </c>
      <c r="W264" s="1">
        <f t="shared" si="36"/>
        <v>0</v>
      </c>
      <c r="X264" s="1">
        <f t="shared" si="37"/>
        <v>0</v>
      </c>
      <c r="Y264" s="1">
        <f t="shared" si="38"/>
        <v>0</v>
      </c>
      <c r="Z264" s="1">
        <f t="shared" si="39"/>
        <v>0</v>
      </c>
      <c r="AA264" s="1">
        <f t="shared" si="40"/>
        <v>0</v>
      </c>
    </row>
    <row r="265" spans="2:27" x14ac:dyDescent="0.3">
      <c r="B265" s="12"/>
      <c r="J265" s="13"/>
      <c r="T265" s="1">
        <f t="shared" si="33"/>
        <v>0</v>
      </c>
      <c r="U265" s="1">
        <f t="shared" si="34"/>
        <v>0</v>
      </c>
      <c r="V265" s="1">
        <f t="shared" si="35"/>
        <v>0</v>
      </c>
      <c r="W265" s="1">
        <f t="shared" si="36"/>
        <v>0</v>
      </c>
      <c r="X265" s="1">
        <f t="shared" si="37"/>
        <v>0</v>
      </c>
      <c r="Y265" s="1">
        <f t="shared" si="38"/>
        <v>0</v>
      </c>
      <c r="Z265" s="1">
        <f t="shared" si="39"/>
        <v>0</v>
      </c>
      <c r="AA265" s="1">
        <f t="shared" si="40"/>
        <v>0</v>
      </c>
    </row>
    <row r="266" spans="2:27" x14ac:dyDescent="0.3">
      <c r="B266" s="12"/>
      <c r="J266" s="13"/>
      <c r="T266" s="1">
        <f t="shared" si="33"/>
        <v>0</v>
      </c>
      <c r="U266" s="1">
        <f t="shared" si="34"/>
        <v>0</v>
      </c>
      <c r="V266" s="1">
        <f t="shared" si="35"/>
        <v>0</v>
      </c>
      <c r="W266" s="1">
        <f t="shared" si="36"/>
        <v>0</v>
      </c>
      <c r="X266" s="1">
        <f t="shared" si="37"/>
        <v>0</v>
      </c>
      <c r="Y266" s="1">
        <f t="shared" si="38"/>
        <v>0</v>
      </c>
      <c r="Z266" s="1">
        <f t="shared" si="39"/>
        <v>0</v>
      </c>
      <c r="AA266" s="1">
        <f t="shared" si="40"/>
        <v>0</v>
      </c>
    </row>
    <row r="267" spans="2:27" x14ac:dyDescent="0.3">
      <c r="B267" s="12"/>
      <c r="J267" s="13"/>
      <c r="T267" s="1">
        <f t="shared" si="33"/>
        <v>0</v>
      </c>
      <c r="U267" s="1">
        <f t="shared" si="34"/>
        <v>0</v>
      </c>
      <c r="V267" s="1">
        <f t="shared" si="35"/>
        <v>0</v>
      </c>
      <c r="W267" s="1">
        <f t="shared" si="36"/>
        <v>0</v>
      </c>
      <c r="X267" s="1">
        <f t="shared" si="37"/>
        <v>0</v>
      </c>
      <c r="Y267" s="1">
        <f t="shared" si="38"/>
        <v>0</v>
      </c>
      <c r="Z267" s="1">
        <f t="shared" si="39"/>
        <v>0</v>
      </c>
      <c r="AA267" s="1">
        <f t="shared" si="40"/>
        <v>0</v>
      </c>
    </row>
    <row r="268" spans="2:27" x14ac:dyDescent="0.3">
      <c r="B268" s="12"/>
      <c r="J268" s="13"/>
      <c r="T268" s="1">
        <f t="shared" si="33"/>
        <v>0</v>
      </c>
      <c r="U268" s="1">
        <f t="shared" si="34"/>
        <v>0</v>
      </c>
      <c r="V268" s="1">
        <f t="shared" si="35"/>
        <v>0</v>
      </c>
      <c r="W268" s="1">
        <f t="shared" si="36"/>
        <v>0</v>
      </c>
      <c r="X268" s="1">
        <f t="shared" si="37"/>
        <v>0</v>
      </c>
      <c r="Y268" s="1">
        <f t="shared" si="38"/>
        <v>0</v>
      </c>
      <c r="Z268" s="1">
        <f t="shared" si="39"/>
        <v>0</v>
      </c>
      <c r="AA268" s="1">
        <f t="shared" si="40"/>
        <v>0</v>
      </c>
    </row>
    <row r="269" spans="2:27" x14ac:dyDescent="0.3">
      <c r="B269" s="12"/>
      <c r="J269" s="13"/>
      <c r="T269" s="1">
        <f t="shared" si="33"/>
        <v>0</v>
      </c>
      <c r="U269" s="1">
        <f t="shared" si="34"/>
        <v>0</v>
      </c>
      <c r="V269" s="1">
        <f t="shared" si="35"/>
        <v>0</v>
      </c>
      <c r="W269" s="1">
        <f t="shared" si="36"/>
        <v>0</v>
      </c>
      <c r="X269" s="1">
        <f t="shared" si="37"/>
        <v>0</v>
      </c>
      <c r="Y269" s="1">
        <f t="shared" si="38"/>
        <v>0</v>
      </c>
      <c r="Z269" s="1">
        <f t="shared" si="39"/>
        <v>0</v>
      </c>
      <c r="AA269" s="1">
        <f t="shared" si="40"/>
        <v>0</v>
      </c>
    </row>
    <row r="270" spans="2:27" x14ac:dyDescent="0.3">
      <c r="B270" s="12"/>
      <c r="J270" s="13"/>
      <c r="T270" s="1">
        <f t="shared" si="33"/>
        <v>0</v>
      </c>
      <c r="U270" s="1">
        <f t="shared" si="34"/>
        <v>0</v>
      </c>
      <c r="V270" s="1">
        <f t="shared" si="35"/>
        <v>0</v>
      </c>
      <c r="W270" s="1">
        <f t="shared" si="36"/>
        <v>0</v>
      </c>
      <c r="X270" s="1">
        <f t="shared" si="37"/>
        <v>0</v>
      </c>
      <c r="Y270" s="1">
        <f t="shared" si="38"/>
        <v>0</v>
      </c>
      <c r="Z270" s="1">
        <f t="shared" si="39"/>
        <v>0</v>
      </c>
      <c r="AA270" s="1">
        <f t="shared" si="40"/>
        <v>0</v>
      </c>
    </row>
    <row r="271" spans="2:27" x14ac:dyDescent="0.3">
      <c r="B271" s="12"/>
      <c r="J271" s="13"/>
      <c r="T271" s="1">
        <f t="shared" si="33"/>
        <v>0</v>
      </c>
      <c r="U271" s="1">
        <f t="shared" si="34"/>
        <v>0</v>
      </c>
      <c r="V271" s="1">
        <f t="shared" si="35"/>
        <v>0</v>
      </c>
      <c r="W271" s="1">
        <f t="shared" si="36"/>
        <v>0</v>
      </c>
      <c r="X271" s="1">
        <f t="shared" si="37"/>
        <v>0</v>
      </c>
      <c r="Y271" s="1">
        <f t="shared" si="38"/>
        <v>0</v>
      </c>
      <c r="Z271" s="1">
        <f t="shared" si="39"/>
        <v>0</v>
      </c>
      <c r="AA271" s="1">
        <f t="shared" si="40"/>
        <v>0</v>
      </c>
    </row>
    <row r="272" spans="2:27" x14ac:dyDescent="0.3">
      <c r="B272" s="12"/>
      <c r="J272" s="13"/>
      <c r="T272" s="1">
        <f t="shared" si="33"/>
        <v>0</v>
      </c>
      <c r="U272" s="1">
        <f t="shared" si="34"/>
        <v>0</v>
      </c>
      <c r="V272" s="1">
        <f t="shared" si="35"/>
        <v>0</v>
      </c>
      <c r="W272" s="1">
        <f t="shared" si="36"/>
        <v>0</v>
      </c>
      <c r="X272" s="1">
        <f t="shared" si="37"/>
        <v>0</v>
      </c>
      <c r="Y272" s="1">
        <f t="shared" si="38"/>
        <v>0</v>
      </c>
      <c r="Z272" s="1">
        <f t="shared" si="39"/>
        <v>0</v>
      </c>
      <c r="AA272" s="1">
        <f t="shared" si="40"/>
        <v>0</v>
      </c>
    </row>
    <row r="273" spans="2:27" x14ac:dyDescent="0.3">
      <c r="B273" s="12"/>
      <c r="J273" s="13"/>
      <c r="T273" s="1">
        <f t="shared" si="33"/>
        <v>0</v>
      </c>
      <c r="U273" s="1">
        <f t="shared" si="34"/>
        <v>0</v>
      </c>
      <c r="V273" s="1">
        <f t="shared" si="35"/>
        <v>0</v>
      </c>
      <c r="W273" s="1">
        <f t="shared" si="36"/>
        <v>0</v>
      </c>
      <c r="X273" s="1">
        <f t="shared" si="37"/>
        <v>0</v>
      </c>
      <c r="Y273" s="1">
        <f t="shared" si="38"/>
        <v>0</v>
      </c>
      <c r="Z273" s="1">
        <f t="shared" si="39"/>
        <v>0</v>
      </c>
      <c r="AA273" s="1">
        <f t="shared" si="40"/>
        <v>0</v>
      </c>
    </row>
    <row r="274" spans="2:27" x14ac:dyDescent="0.3">
      <c r="B274" s="12"/>
      <c r="J274" s="13"/>
      <c r="T274" s="1">
        <f t="shared" si="33"/>
        <v>0</v>
      </c>
      <c r="U274" s="1">
        <f t="shared" si="34"/>
        <v>0</v>
      </c>
      <c r="V274" s="1">
        <f t="shared" si="35"/>
        <v>0</v>
      </c>
      <c r="W274" s="1">
        <f t="shared" si="36"/>
        <v>0</v>
      </c>
      <c r="X274" s="1">
        <f t="shared" si="37"/>
        <v>0</v>
      </c>
      <c r="Y274" s="1">
        <f t="shared" si="38"/>
        <v>0</v>
      </c>
      <c r="Z274" s="1">
        <f t="shared" si="39"/>
        <v>0</v>
      </c>
      <c r="AA274" s="1">
        <f t="shared" si="40"/>
        <v>0</v>
      </c>
    </row>
    <row r="275" spans="2:27" x14ac:dyDescent="0.3">
      <c r="B275" s="12"/>
      <c r="J275" s="13"/>
      <c r="T275" s="1">
        <f t="shared" si="33"/>
        <v>0</v>
      </c>
      <c r="U275" s="1">
        <f t="shared" si="34"/>
        <v>0</v>
      </c>
      <c r="V275" s="1">
        <f t="shared" si="35"/>
        <v>0</v>
      </c>
      <c r="W275" s="1">
        <f t="shared" si="36"/>
        <v>0</v>
      </c>
      <c r="X275" s="1">
        <f t="shared" si="37"/>
        <v>0</v>
      </c>
      <c r="Y275" s="1">
        <f t="shared" si="38"/>
        <v>0</v>
      </c>
      <c r="Z275" s="1">
        <f t="shared" si="39"/>
        <v>0</v>
      </c>
      <c r="AA275" s="1">
        <f t="shared" si="40"/>
        <v>0</v>
      </c>
    </row>
    <row r="276" spans="2:27" x14ac:dyDescent="0.3">
      <c r="B276" s="12"/>
      <c r="J276" s="13"/>
      <c r="T276" s="1">
        <f t="shared" si="33"/>
        <v>0</v>
      </c>
      <c r="U276" s="1">
        <f t="shared" si="34"/>
        <v>0</v>
      </c>
      <c r="V276" s="1">
        <f t="shared" si="35"/>
        <v>0</v>
      </c>
      <c r="W276" s="1">
        <f t="shared" si="36"/>
        <v>0</v>
      </c>
      <c r="X276" s="1">
        <f t="shared" si="37"/>
        <v>0</v>
      </c>
      <c r="Y276" s="1">
        <f t="shared" si="38"/>
        <v>0</v>
      </c>
      <c r="Z276" s="1">
        <f t="shared" si="39"/>
        <v>0</v>
      </c>
      <c r="AA276" s="1">
        <f t="shared" si="40"/>
        <v>0</v>
      </c>
    </row>
    <row r="277" spans="2:27" x14ac:dyDescent="0.3">
      <c r="B277" s="12"/>
      <c r="J277" s="13"/>
      <c r="T277" s="1">
        <f t="shared" si="33"/>
        <v>0</v>
      </c>
      <c r="U277" s="1">
        <f t="shared" si="34"/>
        <v>0</v>
      </c>
      <c r="V277" s="1">
        <f t="shared" si="35"/>
        <v>0</v>
      </c>
      <c r="W277" s="1">
        <f t="shared" si="36"/>
        <v>0</v>
      </c>
      <c r="X277" s="1">
        <f t="shared" si="37"/>
        <v>0</v>
      </c>
      <c r="Y277" s="1">
        <f t="shared" si="38"/>
        <v>0</v>
      </c>
      <c r="Z277" s="1">
        <f t="shared" si="39"/>
        <v>0</v>
      </c>
      <c r="AA277" s="1">
        <f t="shared" si="40"/>
        <v>0</v>
      </c>
    </row>
    <row r="278" spans="2:27" x14ac:dyDescent="0.3">
      <c r="B278" s="12"/>
      <c r="J278" s="13"/>
      <c r="T278" s="1">
        <f t="shared" si="33"/>
        <v>0</v>
      </c>
      <c r="U278" s="1">
        <f t="shared" si="34"/>
        <v>0</v>
      </c>
      <c r="V278" s="1">
        <f t="shared" si="35"/>
        <v>0</v>
      </c>
      <c r="W278" s="1">
        <f t="shared" si="36"/>
        <v>0</v>
      </c>
      <c r="X278" s="1">
        <f t="shared" si="37"/>
        <v>0</v>
      </c>
      <c r="Y278" s="1">
        <f t="shared" si="38"/>
        <v>0</v>
      </c>
      <c r="Z278" s="1">
        <f t="shared" si="39"/>
        <v>0</v>
      </c>
      <c r="AA278" s="1">
        <f t="shared" si="40"/>
        <v>0</v>
      </c>
    </row>
    <row r="279" spans="2:27" x14ac:dyDescent="0.3">
      <c r="B279" s="12"/>
      <c r="J279" s="13"/>
      <c r="T279" s="1">
        <f t="shared" si="33"/>
        <v>0</v>
      </c>
      <c r="U279" s="1">
        <f t="shared" si="34"/>
        <v>0</v>
      </c>
      <c r="V279" s="1">
        <f t="shared" si="35"/>
        <v>0</v>
      </c>
      <c r="W279" s="1">
        <f t="shared" si="36"/>
        <v>0</v>
      </c>
      <c r="X279" s="1">
        <f t="shared" si="37"/>
        <v>0</v>
      </c>
      <c r="Y279" s="1">
        <f t="shared" si="38"/>
        <v>0</v>
      </c>
      <c r="Z279" s="1">
        <f t="shared" si="39"/>
        <v>0</v>
      </c>
      <c r="AA279" s="1">
        <f t="shared" si="40"/>
        <v>0</v>
      </c>
    </row>
    <row r="280" spans="2:27" x14ac:dyDescent="0.3">
      <c r="B280" s="12"/>
      <c r="J280" s="13"/>
      <c r="T280" s="1">
        <f t="shared" si="33"/>
        <v>0</v>
      </c>
      <c r="U280" s="1">
        <f t="shared" si="34"/>
        <v>0</v>
      </c>
      <c r="V280" s="1">
        <f t="shared" si="35"/>
        <v>0</v>
      </c>
      <c r="W280" s="1">
        <f t="shared" si="36"/>
        <v>0</v>
      </c>
      <c r="X280" s="1">
        <f t="shared" si="37"/>
        <v>0</v>
      </c>
      <c r="Y280" s="1">
        <f t="shared" si="38"/>
        <v>0</v>
      </c>
      <c r="Z280" s="1">
        <f t="shared" si="39"/>
        <v>0</v>
      </c>
      <c r="AA280" s="1">
        <f t="shared" si="40"/>
        <v>0</v>
      </c>
    </row>
    <row r="281" spans="2:27" x14ac:dyDescent="0.3">
      <c r="B281" s="12"/>
      <c r="J281" s="13"/>
      <c r="T281" s="1">
        <f t="shared" si="33"/>
        <v>0</v>
      </c>
      <c r="U281" s="1">
        <f t="shared" si="34"/>
        <v>0</v>
      </c>
      <c r="V281" s="1">
        <f t="shared" si="35"/>
        <v>0</v>
      </c>
      <c r="W281" s="1">
        <f t="shared" si="36"/>
        <v>0</v>
      </c>
      <c r="X281" s="1">
        <f t="shared" si="37"/>
        <v>0</v>
      </c>
      <c r="Y281" s="1">
        <f t="shared" si="38"/>
        <v>0</v>
      </c>
      <c r="Z281" s="1">
        <f t="shared" si="39"/>
        <v>0</v>
      </c>
      <c r="AA281" s="1">
        <f t="shared" si="40"/>
        <v>0</v>
      </c>
    </row>
    <row r="282" spans="2:27" x14ac:dyDescent="0.3">
      <c r="B282" s="12"/>
      <c r="J282" s="13"/>
      <c r="T282" s="1">
        <f t="shared" si="33"/>
        <v>0</v>
      </c>
      <c r="U282" s="1">
        <f t="shared" si="34"/>
        <v>0</v>
      </c>
      <c r="V282" s="1">
        <f t="shared" si="35"/>
        <v>0</v>
      </c>
      <c r="W282" s="1">
        <f t="shared" si="36"/>
        <v>0</v>
      </c>
      <c r="X282" s="1">
        <f t="shared" si="37"/>
        <v>0</v>
      </c>
      <c r="Y282" s="1">
        <f t="shared" si="38"/>
        <v>0</v>
      </c>
      <c r="Z282" s="1">
        <f t="shared" si="39"/>
        <v>0</v>
      </c>
      <c r="AA282" s="1">
        <f t="shared" si="40"/>
        <v>0</v>
      </c>
    </row>
    <row r="283" spans="2:27" x14ac:dyDescent="0.3">
      <c r="B283" s="12"/>
      <c r="J283" s="13"/>
      <c r="T283" s="1">
        <f t="shared" si="33"/>
        <v>0</v>
      </c>
      <c r="U283" s="1">
        <f t="shared" si="34"/>
        <v>0</v>
      </c>
      <c r="V283" s="1">
        <f t="shared" si="35"/>
        <v>0</v>
      </c>
      <c r="W283" s="1">
        <f t="shared" si="36"/>
        <v>0</v>
      </c>
      <c r="X283" s="1">
        <f t="shared" si="37"/>
        <v>0</v>
      </c>
      <c r="Y283" s="1">
        <f t="shared" si="38"/>
        <v>0</v>
      </c>
      <c r="Z283" s="1">
        <f t="shared" si="39"/>
        <v>0</v>
      </c>
      <c r="AA283" s="1">
        <f t="shared" si="40"/>
        <v>0</v>
      </c>
    </row>
    <row r="284" spans="2:27" x14ac:dyDescent="0.3">
      <c r="B284" s="12"/>
      <c r="J284" s="13"/>
      <c r="T284" s="1">
        <f t="shared" si="33"/>
        <v>0</v>
      </c>
      <c r="U284" s="1">
        <f t="shared" si="34"/>
        <v>0</v>
      </c>
      <c r="V284" s="1">
        <f t="shared" si="35"/>
        <v>0</v>
      </c>
      <c r="W284" s="1">
        <f t="shared" si="36"/>
        <v>0</v>
      </c>
      <c r="X284" s="1">
        <f t="shared" si="37"/>
        <v>0</v>
      </c>
      <c r="Y284" s="1">
        <f t="shared" si="38"/>
        <v>0</v>
      </c>
      <c r="Z284" s="1">
        <f t="shared" si="39"/>
        <v>0</v>
      </c>
      <c r="AA284" s="1">
        <f t="shared" si="40"/>
        <v>0</v>
      </c>
    </row>
    <row r="285" spans="2:27" x14ac:dyDescent="0.3">
      <c r="B285" s="12"/>
      <c r="J285" s="13"/>
      <c r="T285" s="1">
        <f t="shared" si="33"/>
        <v>0</v>
      </c>
      <c r="U285" s="1">
        <f t="shared" si="34"/>
        <v>0</v>
      </c>
      <c r="V285" s="1">
        <f t="shared" si="35"/>
        <v>0</v>
      </c>
      <c r="W285" s="1">
        <f t="shared" si="36"/>
        <v>0</v>
      </c>
      <c r="X285" s="1">
        <f t="shared" si="37"/>
        <v>0</v>
      </c>
      <c r="Y285" s="1">
        <f t="shared" si="38"/>
        <v>0</v>
      </c>
      <c r="Z285" s="1">
        <f t="shared" si="39"/>
        <v>0</v>
      </c>
      <c r="AA285" s="1">
        <f t="shared" si="40"/>
        <v>0</v>
      </c>
    </row>
    <row r="286" spans="2:27" x14ac:dyDescent="0.3">
      <c r="B286" s="12"/>
      <c r="J286" s="13"/>
      <c r="T286" s="1">
        <f t="shared" si="33"/>
        <v>0</v>
      </c>
      <c r="U286" s="1">
        <f t="shared" si="34"/>
        <v>0</v>
      </c>
      <c r="V286" s="1">
        <f t="shared" si="35"/>
        <v>0</v>
      </c>
      <c r="W286" s="1">
        <f t="shared" si="36"/>
        <v>0</v>
      </c>
      <c r="X286" s="1">
        <f t="shared" si="37"/>
        <v>0</v>
      </c>
      <c r="Y286" s="1">
        <f t="shared" si="38"/>
        <v>0</v>
      </c>
      <c r="Z286" s="1">
        <f t="shared" si="39"/>
        <v>0</v>
      </c>
      <c r="AA286" s="1">
        <f t="shared" si="40"/>
        <v>0</v>
      </c>
    </row>
    <row r="287" spans="2:27" x14ac:dyDescent="0.3">
      <c r="B287" s="12"/>
      <c r="J287" s="13"/>
      <c r="T287" s="1">
        <f t="shared" si="33"/>
        <v>0</v>
      </c>
      <c r="U287" s="1">
        <f t="shared" si="34"/>
        <v>0</v>
      </c>
      <c r="V287" s="1">
        <f t="shared" si="35"/>
        <v>0</v>
      </c>
      <c r="W287" s="1">
        <f t="shared" si="36"/>
        <v>0</v>
      </c>
      <c r="X287" s="1">
        <f t="shared" si="37"/>
        <v>0</v>
      </c>
      <c r="Y287" s="1">
        <f t="shared" si="38"/>
        <v>0</v>
      </c>
      <c r="Z287" s="1">
        <f t="shared" si="39"/>
        <v>0</v>
      </c>
      <c r="AA287" s="1">
        <f t="shared" si="40"/>
        <v>0</v>
      </c>
    </row>
    <row r="288" spans="2:27" x14ac:dyDescent="0.3">
      <c r="B288" s="12"/>
      <c r="J288" s="13"/>
      <c r="T288" s="1">
        <f t="shared" si="33"/>
        <v>0</v>
      </c>
      <c r="U288" s="1">
        <f t="shared" si="34"/>
        <v>0</v>
      </c>
      <c r="V288" s="1">
        <f t="shared" si="35"/>
        <v>0</v>
      </c>
      <c r="W288" s="1">
        <f t="shared" si="36"/>
        <v>0</v>
      </c>
      <c r="X288" s="1">
        <f t="shared" si="37"/>
        <v>0</v>
      </c>
      <c r="Y288" s="1">
        <f t="shared" si="38"/>
        <v>0</v>
      </c>
      <c r="Z288" s="1">
        <f t="shared" si="39"/>
        <v>0</v>
      </c>
      <c r="AA288" s="1">
        <f t="shared" si="40"/>
        <v>0</v>
      </c>
    </row>
    <row r="289" spans="2:27" x14ac:dyDescent="0.3">
      <c r="B289" s="12"/>
      <c r="J289" s="13"/>
      <c r="T289" s="1">
        <f t="shared" si="33"/>
        <v>0</v>
      </c>
      <c r="U289" s="1">
        <f t="shared" si="34"/>
        <v>0</v>
      </c>
      <c r="V289" s="1">
        <f t="shared" si="35"/>
        <v>0</v>
      </c>
      <c r="W289" s="1">
        <f t="shared" si="36"/>
        <v>0</v>
      </c>
      <c r="X289" s="1">
        <f t="shared" si="37"/>
        <v>0</v>
      </c>
      <c r="Y289" s="1">
        <f t="shared" si="38"/>
        <v>0</v>
      </c>
      <c r="Z289" s="1">
        <f t="shared" si="39"/>
        <v>0</v>
      </c>
      <c r="AA289" s="1">
        <f t="shared" si="40"/>
        <v>0</v>
      </c>
    </row>
    <row r="290" spans="2:27" x14ac:dyDescent="0.3">
      <c r="B290" s="12"/>
      <c r="J290" s="13"/>
      <c r="T290" s="1">
        <f t="shared" si="33"/>
        <v>0</v>
      </c>
      <c r="U290" s="1">
        <f t="shared" si="34"/>
        <v>0</v>
      </c>
      <c r="V290" s="1">
        <f t="shared" si="35"/>
        <v>0</v>
      </c>
      <c r="W290" s="1">
        <f t="shared" si="36"/>
        <v>0</v>
      </c>
      <c r="X290" s="1">
        <f t="shared" si="37"/>
        <v>0</v>
      </c>
      <c r="Y290" s="1">
        <f t="shared" si="38"/>
        <v>0</v>
      </c>
      <c r="Z290" s="1">
        <f t="shared" si="39"/>
        <v>0</v>
      </c>
      <c r="AA290" s="1">
        <f t="shared" si="40"/>
        <v>0</v>
      </c>
    </row>
    <row r="291" spans="2:27" x14ac:dyDescent="0.3">
      <c r="B291" s="12"/>
      <c r="J291" s="13"/>
      <c r="T291" s="1">
        <f t="shared" si="33"/>
        <v>0</v>
      </c>
      <c r="U291" s="1">
        <f t="shared" si="34"/>
        <v>0</v>
      </c>
      <c r="V291" s="1">
        <f t="shared" si="35"/>
        <v>0</v>
      </c>
      <c r="W291" s="1">
        <f t="shared" si="36"/>
        <v>0</v>
      </c>
      <c r="X291" s="1">
        <f t="shared" si="37"/>
        <v>0</v>
      </c>
      <c r="Y291" s="1">
        <f t="shared" si="38"/>
        <v>0</v>
      </c>
      <c r="Z291" s="1">
        <f t="shared" si="39"/>
        <v>0</v>
      </c>
      <c r="AA291" s="1">
        <f t="shared" si="40"/>
        <v>0</v>
      </c>
    </row>
    <row r="292" spans="2:27" x14ac:dyDescent="0.3">
      <c r="B292" s="12"/>
      <c r="J292" s="13"/>
      <c r="T292" s="1">
        <f t="shared" si="33"/>
        <v>0</v>
      </c>
      <c r="U292" s="1">
        <f t="shared" si="34"/>
        <v>0</v>
      </c>
      <c r="V292" s="1">
        <f t="shared" si="35"/>
        <v>0</v>
      </c>
      <c r="W292" s="1">
        <f t="shared" si="36"/>
        <v>0</v>
      </c>
      <c r="X292" s="1">
        <f t="shared" si="37"/>
        <v>0</v>
      </c>
      <c r="Y292" s="1">
        <f t="shared" si="38"/>
        <v>0</v>
      </c>
      <c r="Z292" s="1">
        <f t="shared" si="39"/>
        <v>0</v>
      </c>
      <c r="AA292" s="1">
        <f t="shared" si="40"/>
        <v>0</v>
      </c>
    </row>
    <row r="293" spans="2:27" x14ac:dyDescent="0.3">
      <c r="B293" s="12"/>
      <c r="J293" s="13"/>
      <c r="T293" s="1">
        <f t="shared" si="33"/>
        <v>0</v>
      </c>
      <c r="U293" s="1">
        <f t="shared" si="34"/>
        <v>0</v>
      </c>
      <c r="V293" s="1">
        <f t="shared" si="35"/>
        <v>0</v>
      </c>
      <c r="W293" s="1">
        <f t="shared" si="36"/>
        <v>0</v>
      </c>
      <c r="X293" s="1">
        <f t="shared" si="37"/>
        <v>0</v>
      </c>
      <c r="Y293" s="1">
        <f t="shared" si="38"/>
        <v>0</v>
      </c>
      <c r="Z293" s="1">
        <f t="shared" si="39"/>
        <v>0</v>
      </c>
      <c r="AA293" s="1">
        <f t="shared" si="40"/>
        <v>0</v>
      </c>
    </row>
    <row r="294" spans="2:27" x14ac:dyDescent="0.3">
      <c r="B294" s="12"/>
      <c r="J294" s="13"/>
      <c r="T294" s="1">
        <f t="shared" si="33"/>
        <v>0</v>
      </c>
      <c r="U294" s="1">
        <f t="shared" si="34"/>
        <v>0</v>
      </c>
      <c r="V294" s="1">
        <f t="shared" si="35"/>
        <v>0</v>
      </c>
      <c r="W294" s="1">
        <f t="shared" si="36"/>
        <v>0</v>
      </c>
      <c r="X294" s="1">
        <f t="shared" si="37"/>
        <v>0</v>
      </c>
      <c r="Y294" s="1">
        <f t="shared" si="38"/>
        <v>0</v>
      </c>
      <c r="Z294" s="1">
        <f t="shared" si="39"/>
        <v>0</v>
      </c>
      <c r="AA294" s="1">
        <f t="shared" si="40"/>
        <v>0</v>
      </c>
    </row>
    <row r="295" spans="2:27" x14ac:dyDescent="0.3">
      <c r="B295" s="12"/>
      <c r="J295" s="13"/>
      <c r="T295" s="1">
        <f t="shared" si="33"/>
        <v>0</v>
      </c>
      <c r="U295" s="1">
        <f t="shared" si="34"/>
        <v>0</v>
      </c>
      <c r="V295" s="1">
        <f t="shared" si="35"/>
        <v>0</v>
      </c>
      <c r="W295" s="1">
        <f t="shared" si="36"/>
        <v>0</v>
      </c>
      <c r="X295" s="1">
        <f t="shared" si="37"/>
        <v>0</v>
      </c>
      <c r="Y295" s="1">
        <f t="shared" si="38"/>
        <v>0</v>
      </c>
      <c r="Z295" s="1">
        <f t="shared" si="39"/>
        <v>0</v>
      </c>
      <c r="AA295" s="1">
        <f t="shared" si="40"/>
        <v>0</v>
      </c>
    </row>
    <row r="296" spans="2:27" x14ac:dyDescent="0.3">
      <c r="B296" s="12"/>
      <c r="J296" s="13"/>
      <c r="T296" s="1">
        <f t="shared" si="33"/>
        <v>0</v>
      </c>
      <c r="U296" s="1">
        <f t="shared" si="34"/>
        <v>0</v>
      </c>
      <c r="V296" s="1">
        <f t="shared" si="35"/>
        <v>0</v>
      </c>
      <c r="W296" s="1">
        <f t="shared" si="36"/>
        <v>0</v>
      </c>
      <c r="X296" s="1">
        <f t="shared" si="37"/>
        <v>0</v>
      </c>
      <c r="Y296" s="1">
        <f t="shared" si="38"/>
        <v>0</v>
      </c>
      <c r="Z296" s="1">
        <f t="shared" si="39"/>
        <v>0</v>
      </c>
      <c r="AA296" s="1">
        <f t="shared" si="40"/>
        <v>0</v>
      </c>
    </row>
    <row r="297" spans="2:27" x14ac:dyDescent="0.3">
      <c r="B297" s="12"/>
      <c r="J297" s="13"/>
      <c r="T297" s="1">
        <f t="shared" si="33"/>
        <v>0</v>
      </c>
      <c r="U297" s="1">
        <f t="shared" si="34"/>
        <v>0</v>
      </c>
      <c r="V297" s="1">
        <f t="shared" si="35"/>
        <v>0</v>
      </c>
      <c r="W297" s="1">
        <f t="shared" si="36"/>
        <v>0</v>
      </c>
      <c r="X297" s="1">
        <f t="shared" si="37"/>
        <v>0</v>
      </c>
      <c r="Y297" s="1">
        <f t="shared" si="38"/>
        <v>0</v>
      </c>
      <c r="Z297" s="1">
        <f t="shared" si="39"/>
        <v>0</v>
      </c>
      <c r="AA297" s="1">
        <f t="shared" si="40"/>
        <v>0</v>
      </c>
    </row>
    <row r="298" spans="2:27" x14ac:dyDescent="0.3">
      <c r="B298" s="12"/>
      <c r="J298" s="13"/>
      <c r="T298" s="1">
        <f t="shared" si="33"/>
        <v>0</v>
      </c>
      <c r="U298" s="1">
        <f t="shared" si="34"/>
        <v>0</v>
      </c>
      <c r="V298" s="1">
        <f t="shared" si="35"/>
        <v>0</v>
      </c>
      <c r="W298" s="1">
        <f t="shared" si="36"/>
        <v>0</v>
      </c>
      <c r="X298" s="1">
        <f t="shared" si="37"/>
        <v>0</v>
      </c>
      <c r="Y298" s="1">
        <f t="shared" si="38"/>
        <v>0</v>
      </c>
      <c r="Z298" s="1">
        <f t="shared" si="39"/>
        <v>0</v>
      </c>
      <c r="AA298" s="1">
        <f t="shared" si="40"/>
        <v>0</v>
      </c>
    </row>
    <row r="299" spans="2:27" x14ac:dyDescent="0.3">
      <c r="B299" s="12"/>
      <c r="J299" s="13"/>
      <c r="T299" s="1">
        <f t="shared" si="33"/>
        <v>0</v>
      </c>
      <c r="U299" s="1">
        <f t="shared" si="34"/>
        <v>0</v>
      </c>
      <c r="V299" s="1">
        <f t="shared" si="35"/>
        <v>0</v>
      </c>
      <c r="W299" s="1">
        <f t="shared" si="36"/>
        <v>0</v>
      </c>
      <c r="X299" s="1">
        <f t="shared" si="37"/>
        <v>0</v>
      </c>
      <c r="Y299" s="1">
        <f t="shared" si="38"/>
        <v>0</v>
      </c>
      <c r="Z299" s="1">
        <f t="shared" si="39"/>
        <v>0</v>
      </c>
      <c r="AA299" s="1">
        <f t="shared" si="40"/>
        <v>0</v>
      </c>
    </row>
    <row r="300" spans="2:27" x14ac:dyDescent="0.3">
      <c r="B300" s="12"/>
      <c r="J300" s="13"/>
      <c r="T300" s="1">
        <f t="shared" si="33"/>
        <v>0</v>
      </c>
      <c r="U300" s="1">
        <f t="shared" si="34"/>
        <v>0</v>
      </c>
      <c r="V300" s="1">
        <f t="shared" si="35"/>
        <v>0</v>
      </c>
      <c r="W300" s="1">
        <f t="shared" si="36"/>
        <v>0</v>
      </c>
      <c r="X300" s="1">
        <f t="shared" si="37"/>
        <v>0</v>
      </c>
      <c r="Y300" s="1">
        <f t="shared" si="38"/>
        <v>0</v>
      </c>
      <c r="Z300" s="1">
        <f t="shared" si="39"/>
        <v>0</v>
      </c>
      <c r="AA300" s="1">
        <f t="shared" si="40"/>
        <v>0</v>
      </c>
    </row>
    <row r="301" spans="2:27" x14ac:dyDescent="0.3">
      <c r="B301" s="12"/>
      <c r="J301" s="13"/>
      <c r="T301" s="1">
        <f t="shared" si="33"/>
        <v>0</v>
      </c>
      <c r="U301" s="1">
        <f t="shared" si="34"/>
        <v>0</v>
      </c>
      <c r="V301" s="1">
        <f t="shared" si="35"/>
        <v>0</v>
      </c>
      <c r="W301" s="1">
        <f t="shared" si="36"/>
        <v>0</v>
      </c>
      <c r="X301" s="1">
        <f t="shared" si="37"/>
        <v>0</v>
      </c>
      <c r="Y301" s="1">
        <f t="shared" si="38"/>
        <v>0</v>
      </c>
      <c r="Z301" s="1">
        <f t="shared" si="39"/>
        <v>0</v>
      </c>
      <c r="AA301" s="1">
        <f t="shared" si="40"/>
        <v>0</v>
      </c>
    </row>
    <row r="302" spans="2:27" x14ac:dyDescent="0.3">
      <c r="B302" s="12"/>
      <c r="J302" s="13"/>
      <c r="T302" s="1">
        <f t="shared" si="33"/>
        <v>0</v>
      </c>
      <c r="U302" s="1">
        <f t="shared" si="34"/>
        <v>0</v>
      </c>
      <c r="V302" s="1">
        <f t="shared" si="35"/>
        <v>0</v>
      </c>
      <c r="W302" s="1">
        <f t="shared" si="36"/>
        <v>0</v>
      </c>
      <c r="X302" s="1">
        <f t="shared" si="37"/>
        <v>0</v>
      </c>
      <c r="Y302" s="1">
        <f t="shared" si="38"/>
        <v>0</v>
      </c>
      <c r="Z302" s="1">
        <f t="shared" si="39"/>
        <v>0</v>
      </c>
      <c r="AA302" s="1">
        <f t="shared" si="40"/>
        <v>0</v>
      </c>
    </row>
    <row r="303" spans="2:27" x14ac:dyDescent="0.3">
      <c r="B303" s="12"/>
      <c r="J303" s="13"/>
      <c r="T303" s="1">
        <f t="shared" si="33"/>
        <v>0</v>
      </c>
      <c r="U303" s="1">
        <f t="shared" si="34"/>
        <v>0</v>
      </c>
      <c r="V303" s="1">
        <f t="shared" si="35"/>
        <v>0</v>
      </c>
      <c r="W303" s="1">
        <f t="shared" si="36"/>
        <v>0</v>
      </c>
      <c r="X303" s="1">
        <f t="shared" si="37"/>
        <v>0</v>
      </c>
      <c r="Y303" s="1">
        <f t="shared" si="38"/>
        <v>0</v>
      </c>
      <c r="Z303" s="1">
        <f t="shared" si="39"/>
        <v>0</v>
      </c>
      <c r="AA303" s="1">
        <f t="shared" si="40"/>
        <v>0</v>
      </c>
    </row>
    <row r="304" spans="2:27" x14ac:dyDescent="0.3">
      <c r="B304" s="12"/>
      <c r="J304" s="13"/>
      <c r="T304" s="1">
        <f t="shared" si="33"/>
        <v>0</v>
      </c>
      <c r="U304" s="1">
        <f t="shared" si="34"/>
        <v>0</v>
      </c>
      <c r="V304" s="1">
        <f t="shared" si="35"/>
        <v>0</v>
      </c>
      <c r="W304" s="1">
        <f t="shared" si="36"/>
        <v>0</v>
      </c>
      <c r="X304" s="1">
        <f t="shared" si="37"/>
        <v>0</v>
      </c>
      <c r="Y304" s="1">
        <f t="shared" si="38"/>
        <v>0</v>
      </c>
      <c r="Z304" s="1">
        <f t="shared" si="39"/>
        <v>0</v>
      </c>
      <c r="AA304" s="1">
        <f t="shared" si="40"/>
        <v>0</v>
      </c>
    </row>
    <row r="305" spans="2:27" x14ac:dyDescent="0.3">
      <c r="B305" s="12"/>
      <c r="J305" s="13"/>
      <c r="T305" s="1">
        <f t="shared" si="33"/>
        <v>0</v>
      </c>
      <c r="U305" s="1">
        <f t="shared" si="34"/>
        <v>0</v>
      </c>
      <c r="V305" s="1">
        <f t="shared" si="35"/>
        <v>0</v>
      </c>
      <c r="W305" s="1">
        <f t="shared" si="36"/>
        <v>0</v>
      </c>
      <c r="X305" s="1">
        <f t="shared" si="37"/>
        <v>0</v>
      </c>
      <c r="Y305" s="1">
        <f t="shared" si="38"/>
        <v>0</v>
      </c>
      <c r="Z305" s="1">
        <f t="shared" si="39"/>
        <v>0</v>
      </c>
      <c r="AA305" s="1">
        <f t="shared" si="40"/>
        <v>0</v>
      </c>
    </row>
    <row r="306" spans="2:27" x14ac:dyDescent="0.3">
      <c r="B306" s="12"/>
      <c r="J306" s="13"/>
      <c r="T306" s="1">
        <f t="shared" si="33"/>
        <v>0</v>
      </c>
      <c r="U306" s="1">
        <f t="shared" si="34"/>
        <v>0</v>
      </c>
      <c r="V306" s="1">
        <f t="shared" si="35"/>
        <v>0</v>
      </c>
      <c r="W306" s="1">
        <f t="shared" si="36"/>
        <v>0</v>
      </c>
      <c r="X306" s="1">
        <f t="shared" si="37"/>
        <v>0</v>
      </c>
      <c r="Y306" s="1">
        <f t="shared" si="38"/>
        <v>0</v>
      </c>
      <c r="Z306" s="1">
        <f t="shared" si="39"/>
        <v>0</v>
      </c>
      <c r="AA306" s="1">
        <f t="shared" si="40"/>
        <v>0</v>
      </c>
    </row>
    <row r="307" spans="2:27" x14ac:dyDescent="0.3">
      <c r="B307" s="12"/>
      <c r="J307" s="13"/>
      <c r="T307" s="1">
        <f t="shared" si="33"/>
        <v>0</v>
      </c>
      <c r="U307" s="1">
        <f t="shared" si="34"/>
        <v>0</v>
      </c>
      <c r="V307" s="1">
        <f t="shared" si="35"/>
        <v>0</v>
      </c>
      <c r="W307" s="1">
        <f t="shared" si="36"/>
        <v>0</v>
      </c>
      <c r="X307" s="1">
        <f t="shared" si="37"/>
        <v>0</v>
      </c>
      <c r="Y307" s="1">
        <f t="shared" si="38"/>
        <v>0</v>
      </c>
      <c r="Z307" s="1">
        <f t="shared" si="39"/>
        <v>0</v>
      </c>
      <c r="AA307" s="1">
        <f t="shared" si="40"/>
        <v>0</v>
      </c>
    </row>
    <row r="308" spans="2:27" x14ac:dyDescent="0.3">
      <c r="B308" s="12"/>
      <c r="J308" s="13"/>
      <c r="T308" s="1">
        <f t="shared" si="33"/>
        <v>0</v>
      </c>
      <c r="U308" s="1">
        <f t="shared" si="34"/>
        <v>0</v>
      </c>
      <c r="V308" s="1">
        <f t="shared" si="35"/>
        <v>0</v>
      </c>
      <c r="W308" s="1">
        <f t="shared" si="36"/>
        <v>0</v>
      </c>
      <c r="X308" s="1">
        <f t="shared" si="37"/>
        <v>0</v>
      </c>
      <c r="Y308" s="1">
        <f t="shared" si="38"/>
        <v>0</v>
      </c>
      <c r="Z308" s="1">
        <f t="shared" si="39"/>
        <v>0</v>
      </c>
      <c r="AA308" s="1">
        <f t="shared" si="40"/>
        <v>0</v>
      </c>
    </row>
    <row r="309" spans="2:27" x14ac:dyDescent="0.3">
      <c r="B309" s="12"/>
      <c r="J309" s="13"/>
      <c r="T309" s="1">
        <f t="shared" si="33"/>
        <v>0</v>
      </c>
      <c r="U309" s="1">
        <f t="shared" si="34"/>
        <v>0</v>
      </c>
      <c r="V309" s="1">
        <f t="shared" si="35"/>
        <v>0</v>
      </c>
      <c r="W309" s="1">
        <f t="shared" si="36"/>
        <v>0</v>
      </c>
      <c r="X309" s="1">
        <f t="shared" si="37"/>
        <v>0</v>
      </c>
      <c r="Y309" s="1">
        <f t="shared" si="38"/>
        <v>0</v>
      </c>
      <c r="Z309" s="1">
        <f t="shared" si="39"/>
        <v>0</v>
      </c>
      <c r="AA309" s="1">
        <f t="shared" si="40"/>
        <v>0</v>
      </c>
    </row>
    <row r="310" spans="2:27" x14ac:dyDescent="0.3">
      <c r="B310" s="12"/>
      <c r="J310" s="13"/>
      <c r="T310" s="1">
        <f t="shared" si="33"/>
        <v>0</v>
      </c>
      <c r="U310" s="1">
        <f t="shared" si="34"/>
        <v>0</v>
      </c>
      <c r="V310" s="1">
        <f t="shared" si="35"/>
        <v>0</v>
      </c>
      <c r="W310" s="1">
        <f t="shared" si="36"/>
        <v>0</v>
      </c>
      <c r="X310" s="1">
        <f t="shared" si="37"/>
        <v>0</v>
      </c>
      <c r="Y310" s="1">
        <f t="shared" si="38"/>
        <v>0</v>
      </c>
      <c r="Z310" s="1">
        <f t="shared" si="39"/>
        <v>0</v>
      </c>
      <c r="AA310" s="1">
        <f t="shared" si="40"/>
        <v>0</v>
      </c>
    </row>
    <row r="311" spans="2:27" x14ac:dyDescent="0.3">
      <c r="B311" s="12"/>
      <c r="J311" s="13"/>
      <c r="T311" s="1">
        <f t="shared" si="33"/>
        <v>0</v>
      </c>
      <c r="U311" s="1">
        <f t="shared" si="34"/>
        <v>0</v>
      </c>
      <c r="V311" s="1">
        <f t="shared" si="35"/>
        <v>0</v>
      </c>
      <c r="W311" s="1">
        <f t="shared" si="36"/>
        <v>0</v>
      </c>
      <c r="X311" s="1">
        <f t="shared" si="37"/>
        <v>0</v>
      </c>
      <c r="Y311" s="1">
        <f t="shared" si="38"/>
        <v>0</v>
      </c>
      <c r="Z311" s="1">
        <f t="shared" si="39"/>
        <v>0</v>
      </c>
      <c r="AA311" s="1">
        <f t="shared" si="40"/>
        <v>0</v>
      </c>
    </row>
    <row r="312" spans="2:27" x14ac:dyDescent="0.3">
      <c r="B312" s="12"/>
      <c r="J312" s="13"/>
      <c r="T312" s="1">
        <f t="shared" si="33"/>
        <v>0</v>
      </c>
      <c r="U312" s="1">
        <f t="shared" si="34"/>
        <v>0</v>
      </c>
      <c r="V312" s="1">
        <f t="shared" si="35"/>
        <v>0</v>
      </c>
      <c r="W312" s="1">
        <f t="shared" si="36"/>
        <v>0</v>
      </c>
      <c r="X312" s="1">
        <f t="shared" si="37"/>
        <v>0</v>
      </c>
      <c r="Y312" s="1">
        <f t="shared" si="38"/>
        <v>0</v>
      </c>
      <c r="Z312" s="1">
        <f t="shared" si="39"/>
        <v>0</v>
      </c>
      <c r="AA312" s="1">
        <f t="shared" si="40"/>
        <v>0</v>
      </c>
    </row>
    <row r="313" spans="2:27" x14ac:dyDescent="0.3">
      <c r="B313" s="12"/>
      <c r="J313" s="13"/>
      <c r="T313" s="1">
        <f t="shared" si="33"/>
        <v>0</v>
      </c>
      <c r="U313" s="1">
        <f t="shared" si="34"/>
        <v>0</v>
      </c>
      <c r="V313" s="1">
        <f t="shared" si="35"/>
        <v>0</v>
      </c>
      <c r="W313" s="1">
        <f t="shared" si="36"/>
        <v>0</v>
      </c>
      <c r="X313" s="1">
        <f t="shared" si="37"/>
        <v>0</v>
      </c>
      <c r="Y313" s="1">
        <f t="shared" si="38"/>
        <v>0</v>
      </c>
      <c r="Z313" s="1">
        <f t="shared" si="39"/>
        <v>0</v>
      </c>
      <c r="AA313" s="1">
        <f t="shared" si="40"/>
        <v>0</v>
      </c>
    </row>
    <row r="314" spans="2:27" x14ac:dyDescent="0.3">
      <c r="B314" s="12"/>
      <c r="J314" s="13"/>
      <c r="T314" s="1">
        <f t="shared" si="33"/>
        <v>0</v>
      </c>
      <c r="U314" s="1">
        <f t="shared" si="34"/>
        <v>0</v>
      </c>
      <c r="V314" s="1">
        <f t="shared" si="35"/>
        <v>0</v>
      </c>
      <c r="W314" s="1">
        <f t="shared" si="36"/>
        <v>0</v>
      </c>
      <c r="X314" s="1">
        <f t="shared" si="37"/>
        <v>0</v>
      </c>
      <c r="Y314" s="1">
        <f t="shared" si="38"/>
        <v>0</v>
      </c>
      <c r="Z314" s="1">
        <f t="shared" si="39"/>
        <v>0</v>
      </c>
      <c r="AA314" s="1">
        <f t="shared" si="40"/>
        <v>0</v>
      </c>
    </row>
    <row r="315" spans="2:27" x14ac:dyDescent="0.3">
      <c r="B315" s="12"/>
      <c r="J315" s="13"/>
      <c r="T315" s="1">
        <f t="shared" si="33"/>
        <v>0</v>
      </c>
      <c r="U315" s="1">
        <f t="shared" si="34"/>
        <v>0</v>
      </c>
      <c r="V315" s="1">
        <f t="shared" si="35"/>
        <v>0</v>
      </c>
      <c r="W315" s="1">
        <f t="shared" si="36"/>
        <v>0</v>
      </c>
      <c r="X315" s="1">
        <f t="shared" si="37"/>
        <v>0</v>
      </c>
      <c r="Y315" s="1">
        <f t="shared" si="38"/>
        <v>0</v>
      </c>
      <c r="Z315" s="1">
        <f t="shared" si="39"/>
        <v>0</v>
      </c>
      <c r="AA315" s="1">
        <f t="shared" si="40"/>
        <v>0</v>
      </c>
    </row>
    <row r="316" spans="2:27" x14ac:dyDescent="0.3">
      <c r="B316" s="12"/>
      <c r="J316" s="13"/>
      <c r="T316" s="1">
        <f t="shared" si="33"/>
        <v>0</v>
      </c>
      <c r="U316" s="1">
        <f t="shared" si="34"/>
        <v>0</v>
      </c>
      <c r="V316" s="1">
        <f t="shared" si="35"/>
        <v>0</v>
      </c>
      <c r="W316" s="1">
        <f t="shared" si="36"/>
        <v>0</v>
      </c>
      <c r="X316" s="1">
        <f t="shared" si="37"/>
        <v>0</v>
      </c>
      <c r="Y316" s="1">
        <f t="shared" si="38"/>
        <v>0</v>
      </c>
      <c r="Z316" s="1">
        <f t="shared" si="39"/>
        <v>0</v>
      </c>
      <c r="AA316" s="1">
        <f t="shared" si="40"/>
        <v>0</v>
      </c>
    </row>
    <row r="317" spans="2:27" x14ac:dyDescent="0.3">
      <c r="B317" s="12"/>
      <c r="J317" s="13"/>
      <c r="T317" s="1">
        <f t="shared" si="33"/>
        <v>0</v>
      </c>
      <c r="U317" s="1">
        <f t="shared" si="34"/>
        <v>0</v>
      </c>
      <c r="V317" s="1">
        <f t="shared" si="35"/>
        <v>0</v>
      </c>
      <c r="W317" s="1">
        <f t="shared" si="36"/>
        <v>0</v>
      </c>
      <c r="X317" s="1">
        <f t="shared" si="37"/>
        <v>0</v>
      </c>
      <c r="Y317" s="1">
        <f t="shared" si="38"/>
        <v>0</v>
      </c>
      <c r="Z317" s="1">
        <f t="shared" si="39"/>
        <v>0</v>
      </c>
      <c r="AA317" s="1">
        <f t="shared" si="40"/>
        <v>0</v>
      </c>
    </row>
    <row r="318" spans="2:27" x14ac:dyDescent="0.3">
      <c r="B318" s="12"/>
      <c r="J318" s="13"/>
      <c r="T318" s="1">
        <f t="shared" si="33"/>
        <v>0</v>
      </c>
      <c r="U318" s="1">
        <f t="shared" si="34"/>
        <v>0</v>
      </c>
      <c r="V318" s="1">
        <f t="shared" si="35"/>
        <v>0</v>
      </c>
      <c r="W318" s="1">
        <f t="shared" si="36"/>
        <v>0</v>
      </c>
      <c r="X318" s="1">
        <f t="shared" si="37"/>
        <v>0</v>
      </c>
      <c r="Y318" s="1">
        <f t="shared" si="38"/>
        <v>0</v>
      </c>
      <c r="Z318" s="1">
        <f t="shared" si="39"/>
        <v>0</v>
      </c>
      <c r="AA318" s="1">
        <f t="shared" si="40"/>
        <v>0</v>
      </c>
    </row>
    <row r="319" spans="2:27" x14ac:dyDescent="0.3">
      <c r="B319" s="12"/>
      <c r="J319" s="13"/>
      <c r="T319" s="1">
        <f t="shared" si="33"/>
        <v>0</v>
      </c>
      <c r="U319" s="1">
        <f t="shared" si="34"/>
        <v>0</v>
      </c>
      <c r="V319" s="1">
        <f t="shared" si="35"/>
        <v>0</v>
      </c>
      <c r="W319" s="1">
        <f t="shared" si="36"/>
        <v>0</v>
      </c>
      <c r="X319" s="1">
        <f t="shared" si="37"/>
        <v>0</v>
      </c>
      <c r="Y319" s="1">
        <f t="shared" si="38"/>
        <v>0</v>
      </c>
      <c r="Z319" s="1">
        <f t="shared" si="39"/>
        <v>0</v>
      </c>
      <c r="AA319" s="1">
        <f t="shared" si="40"/>
        <v>0</v>
      </c>
    </row>
    <row r="320" spans="2:27" x14ac:dyDescent="0.3">
      <c r="B320" s="12"/>
      <c r="J320" s="13"/>
      <c r="T320" s="1">
        <f t="shared" si="33"/>
        <v>0</v>
      </c>
      <c r="U320" s="1">
        <f t="shared" si="34"/>
        <v>0</v>
      </c>
      <c r="V320" s="1">
        <f t="shared" si="35"/>
        <v>0</v>
      </c>
      <c r="W320" s="1">
        <f t="shared" si="36"/>
        <v>0</v>
      </c>
      <c r="X320" s="1">
        <f t="shared" si="37"/>
        <v>0</v>
      </c>
      <c r="Y320" s="1">
        <f t="shared" si="38"/>
        <v>0</v>
      </c>
      <c r="Z320" s="1">
        <f t="shared" si="39"/>
        <v>0</v>
      </c>
      <c r="AA320" s="1">
        <f t="shared" si="40"/>
        <v>0</v>
      </c>
    </row>
    <row r="321" spans="2:27" x14ac:dyDescent="0.3">
      <c r="B321" s="12"/>
      <c r="J321" s="13"/>
      <c r="T321" s="1">
        <f t="shared" si="33"/>
        <v>0</v>
      </c>
      <c r="U321" s="1">
        <f t="shared" si="34"/>
        <v>0</v>
      </c>
      <c r="V321" s="1">
        <f t="shared" si="35"/>
        <v>0</v>
      </c>
      <c r="W321" s="1">
        <f t="shared" si="36"/>
        <v>0</v>
      </c>
      <c r="X321" s="1">
        <f t="shared" si="37"/>
        <v>0</v>
      </c>
      <c r="Y321" s="1">
        <f t="shared" si="38"/>
        <v>0</v>
      </c>
      <c r="Z321" s="1">
        <f t="shared" si="39"/>
        <v>0</v>
      </c>
      <c r="AA321" s="1">
        <f t="shared" si="40"/>
        <v>0</v>
      </c>
    </row>
    <row r="322" spans="2:27" x14ac:dyDescent="0.3">
      <c r="B322" s="12"/>
      <c r="J322" s="13"/>
      <c r="T322" s="1">
        <f t="shared" si="33"/>
        <v>0</v>
      </c>
      <c r="U322" s="1">
        <f t="shared" si="34"/>
        <v>0</v>
      </c>
      <c r="V322" s="1">
        <f t="shared" si="35"/>
        <v>0</v>
      </c>
      <c r="W322" s="1">
        <f t="shared" si="36"/>
        <v>0</v>
      </c>
      <c r="X322" s="1">
        <f t="shared" si="37"/>
        <v>0</v>
      </c>
      <c r="Y322" s="1">
        <f t="shared" si="38"/>
        <v>0</v>
      </c>
      <c r="Z322" s="1">
        <f t="shared" si="39"/>
        <v>0</v>
      </c>
      <c r="AA322" s="1">
        <f t="shared" si="40"/>
        <v>0</v>
      </c>
    </row>
    <row r="323" spans="2:27" x14ac:dyDescent="0.3">
      <c r="B323" s="12"/>
      <c r="J323" s="13"/>
      <c r="T323" s="1">
        <f t="shared" si="33"/>
        <v>0</v>
      </c>
      <c r="U323" s="1">
        <f t="shared" si="34"/>
        <v>0</v>
      </c>
      <c r="V323" s="1">
        <f t="shared" si="35"/>
        <v>0</v>
      </c>
      <c r="W323" s="1">
        <f t="shared" si="36"/>
        <v>0</v>
      </c>
      <c r="X323" s="1">
        <f t="shared" si="37"/>
        <v>0</v>
      </c>
      <c r="Y323" s="1">
        <f t="shared" si="38"/>
        <v>0</v>
      </c>
      <c r="Z323" s="1">
        <f t="shared" si="39"/>
        <v>0</v>
      </c>
      <c r="AA323" s="1">
        <f t="shared" si="40"/>
        <v>0</v>
      </c>
    </row>
    <row r="324" spans="2:27" x14ac:dyDescent="0.3">
      <c r="B324" s="12"/>
      <c r="J324" s="13"/>
      <c r="T324" s="1">
        <f t="shared" si="33"/>
        <v>0</v>
      </c>
      <c r="U324" s="1">
        <f t="shared" si="34"/>
        <v>0</v>
      </c>
      <c r="V324" s="1">
        <f t="shared" si="35"/>
        <v>0</v>
      </c>
      <c r="W324" s="1">
        <f t="shared" si="36"/>
        <v>0</v>
      </c>
      <c r="X324" s="1">
        <f t="shared" si="37"/>
        <v>0</v>
      </c>
      <c r="Y324" s="1">
        <f t="shared" si="38"/>
        <v>0</v>
      </c>
      <c r="Z324" s="1">
        <f t="shared" si="39"/>
        <v>0</v>
      </c>
      <c r="AA324" s="1">
        <f t="shared" si="40"/>
        <v>0</v>
      </c>
    </row>
    <row r="325" spans="2:27" x14ac:dyDescent="0.3">
      <c r="B325" s="12"/>
      <c r="J325" s="13"/>
      <c r="T325" s="1">
        <f t="shared" si="33"/>
        <v>0</v>
      </c>
      <c r="U325" s="1">
        <f t="shared" si="34"/>
        <v>0</v>
      </c>
      <c r="V325" s="1">
        <f t="shared" si="35"/>
        <v>0</v>
      </c>
      <c r="W325" s="1">
        <f t="shared" si="36"/>
        <v>0</v>
      </c>
      <c r="X325" s="1">
        <f t="shared" si="37"/>
        <v>0</v>
      </c>
      <c r="Y325" s="1">
        <f t="shared" si="38"/>
        <v>0</v>
      </c>
      <c r="Z325" s="1">
        <f t="shared" si="39"/>
        <v>0</v>
      </c>
      <c r="AA325" s="1">
        <f t="shared" si="40"/>
        <v>0</v>
      </c>
    </row>
    <row r="326" spans="2:27" x14ac:dyDescent="0.3">
      <c r="B326" s="12"/>
      <c r="J326" s="13"/>
      <c r="T326" s="1">
        <f t="shared" si="33"/>
        <v>0</v>
      </c>
      <c r="U326" s="1">
        <f t="shared" si="34"/>
        <v>0</v>
      </c>
      <c r="V326" s="1">
        <f t="shared" si="35"/>
        <v>0</v>
      </c>
      <c r="W326" s="1">
        <f t="shared" si="36"/>
        <v>0</v>
      </c>
      <c r="X326" s="1">
        <f t="shared" si="37"/>
        <v>0</v>
      </c>
      <c r="Y326" s="1">
        <f t="shared" si="38"/>
        <v>0</v>
      </c>
      <c r="Z326" s="1">
        <f t="shared" si="39"/>
        <v>0</v>
      </c>
      <c r="AA326" s="1">
        <f t="shared" si="40"/>
        <v>0</v>
      </c>
    </row>
    <row r="327" spans="2:27" x14ac:dyDescent="0.3">
      <c r="B327" s="12"/>
      <c r="J327" s="13"/>
      <c r="T327" s="1">
        <f t="shared" ref="T327:T390" si="41">IF(AND(G327="-"),0,G327*F327)</f>
        <v>0</v>
      </c>
      <c r="U327" s="1">
        <f t="shared" ref="U327:U390" si="42">IF(AND(O327="-"),0,O327*N327)</f>
        <v>0</v>
      </c>
      <c r="V327" s="1">
        <f t="shared" ref="V327:V390" si="43">IFERROR(C327*H327,0)</f>
        <v>0</v>
      </c>
      <c r="W327" s="1">
        <f t="shared" ref="W327:W390" si="44">IFERROR(K327*P327,0)</f>
        <v>0</v>
      </c>
      <c r="X327" s="1">
        <f t="shared" ref="X327:X390" si="45">IFERROR(G327*1,0)</f>
        <v>0</v>
      </c>
      <c r="Y327" s="1">
        <f t="shared" ref="Y327:Y390" si="46">IFERROR(O327*1,0)</f>
        <v>0</v>
      </c>
      <c r="Z327" s="1">
        <f t="shared" ref="Z327:Z390" si="47">IFERROR(H327*1,0)</f>
        <v>0</v>
      </c>
      <c r="AA327" s="1">
        <f t="shared" ref="AA327:AA390" si="48">IFERROR(P327*1,0)</f>
        <v>0</v>
      </c>
    </row>
    <row r="328" spans="2:27" x14ac:dyDescent="0.3">
      <c r="B328" s="12"/>
      <c r="J328" s="13"/>
      <c r="T328" s="1">
        <f t="shared" si="41"/>
        <v>0</v>
      </c>
      <c r="U328" s="1">
        <f t="shared" si="42"/>
        <v>0</v>
      </c>
      <c r="V328" s="1">
        <f t="shared" si="43"/>
        <v>0</v>
      </c>
      <c r="W328" s="1">
        <f t="shared" si="44"/>
        <v>0</v>
      </c>
      <c r="X328" s="1">
        <f t="shared" si="45"/>
        <v>0</v>
      </c>
      <c r="Y328" s="1">
        <f t="shared" si="46"/>
        <v>0</v>
      </c>
      <c r="Z328" s="1">
        <f t="shared" si="47"/>
        <v>0</v>
      </c>
      <c r="AA328" s="1">
        <f t="shared" si="48"/>
        <v>0</v>
      </c>
    </row>
    <row r="329" spans="2:27" x14ac:dyDescent="0.3">
      <c r="B329" s="12"/>
      <c r="J329" s="13"/>
      <c r="T329" s="1">
        <f t="shared" si="41"/>
        <v>0</v>
      </c>
      <c r="U329" s="1">
        <f t="shared" si="42"/>
        <v>0</v>
      </c>
      <c r="V329" s="1">
        <f t="shared" si="43"/>
        <v>0</v>
      </c>
      <c r="W329" s="1">
        <f t="shared" si="44"/>
        <v>0</v>
      </c>
      <c r="X329" s="1">
        <f t="shared" si="45"/>
        <v>0</v>
      </c>
      <c r="Y329" s="1">
        <f t="shared" si="46"/>
        <v>0</v>
      </c>
      <c r="Z329" s="1">
        <f t="shared" si="47"/>
        <v>0</v>
      </c>
      <c r="AA329" s="1">
        <f t="shared" si="48"/>
        <v>0</v>
      </c>
    </row>
    <row r="330" spans="2:27" x14ac:dyDescent="0.3">
      <c r="B330" s="12"/>
      <c r="J330" s="13"/>
      <c r="T330" s="1">
        <f t="shared" si="41"/>
        <v>0</v>
      </c>
      <c r="U330" s="1">
        <f t="shared" si="42"/>
        <v>0</v>
      </c>
      <c r="V330" s="1">
        <f t="shared" si="43"/>
        <v>0</v>
      </c>
      <c r="W330" s="1">
        <f t="shared" si="44"/>
        <v>0</v>
      </c>
      <c r="X330" s="1">
        <f t="shared" si="45"/>
        <v>0</v>
      </c>
      <c r="Y330" s="1">
        <f t="shared" si="46"/>
        <v>0</v>
      </c>
      <c r="Z330" s="1">
        <f t="shared" si="47"/>
        <v>0</v>
      </c>
      <c r="AA330" s="1">
        <f t="shared" si="48"/>
        <v>0</v>
      </c>
    </row>
    <row r="331" spans="2:27" x14ac:dyDescent="0.3">
      <c r="B331" s="12"/>
      <c r="J331" s="13"/>
      <c r="T331" s="1">
        <f t="shared" si="41"/>
        <v>0</v>
      </c>
      <c r="U331" s="1">
        <f t="shared" si="42"/>
        <v>0</v>
      </c>
      <c r="V331" s="1">
        <f t="shared" si="43"/>
        <v>0</v>
      </c>
      <c r="W331" s="1">
        <f t="shared" si="44"/>
        <v>0</v>
      </c>
      <c r="X331" s="1">
        <f t="shared" si="45"/>
        <v>0</v>
      </c>
      <c r="Y331" s="1">
        <f t="shared" si="46"/>
        <v>0</v>
      </c>
      <c r="Z331" s="1">
        <f t="shared" si="47"/>
        <v>0</v>
      </c>
      <c r="AA331" s="1">
        <f t="shared" si="48"/>
        <v>0</v>
      </c>
    </row>
    <row r="332" spans="2:27" x14ac:dyDescent="0.3">
      <c r="B332" s="12"/>
      <c r="J332" s="13"/>
      <c r="T332" s="1">
        <f t="shared" si="41"/>
        <v>0</v>
      </c>
      <c r="U332" s="1">
        <f t="shared" si="42"/>
        <v>0</v>
      </c>
      <c r="V332" s="1">
        <f t="shared" si="43"/>
        <v>0</v>
      </c>
      <c r="W332" s="1">
        <f t="shared" si="44"/>
        <v>0</v>
      </c>
      <c r="X332" s="1">
        <f t="shared" si="45"/>
        <v>0</v>
      </c>
      <c r="Y332" s="1">
        <f t="shared" si="46"/>
        <v>0</v>
      </c>
      <c r="Z332" s="1">
        <f t="shared" si="47"/>
        <v>0</v>
      </c>
      <c r="AA332" s="1">
        <f t="shared" si="48"/>
        <v>0</v>
      </c>
    </row>
    <row r="333" spans="2:27" x14ac:dyDescent="0.3">
      <c r="B333" s="12"/>
      <c r="J333" s="13"/>
      <c r="T333" s="1">
        <f t="shared" si="41"/>
        <v>0</v>
      </c>
      <c r="U333" s="1">
        <f t="shared" si="42"/>
        <v>0</v>
      </c>
      <c r="V333" s="1">
        <f t="shared" si="43"/>
        <v>0</v>
      </c>
      <c r="W333" s="1">
        <f t="shared" si="44"/>
        <v>0</v>
      </c>
      <c r="X333" s="1">
        <f t="shared" si="45"/>
        <v>0</v>
      </c>
      <c r="Y333" s="1">
        <f t="shared" si="46"/>
        <v>0</v>
      </c>
      <c r="Z333" s="1">
        <f t="shared" si="47"/>
        <v>0</v>
      </c>
      <c r="AA333" s="1">
        <f t="shared" si="48"/>
        <v>0</v>
      </c>
    </row>
    <row r="334" spans="2:27" x14ac:dyDescent="0.3">
      <c r="B334" s="12"/>
      <c r="J334" s="13"/>
      <c r="T334" s="1">
        <f t="shared" si="41"/>
        <v>0</v>
      </c>
      <c r="U334" s="1">
        <f t="shared" si="42"/>
        <v>0</v>
      </c>
      <c r="V334" s="1">
        <f t="shared" si="43"/>
        <v>0</v>
      </c>
      <c r="W334" s="1">
        <f t="shared" si="44"/>
        <v>0</v>
      </c>
      <c r="X334" s="1">
        <f t="shared" si="45"/>
        <v>0</v>
      </c>
      <c r="Y334" s="1">
        <f t="shared" si="46"/>
        <v>0</v>
      </c>
      <c r="Z334" s="1">
        <f t="shared" si="47"/>
        <v>0</v>
      </c>
      <c r="AA334" s="1">
        <f t="shared" si="48"/>
        <v>0</v>
      </c>
    </row>
    <row r="335" spans="2:27" x14ac:dyDescent="0.3">
      <c r="B335" s="12"/>
      <c r="J335" s="13"/>
      <c r="T335" s="1">
        <f t="shared" si="41"/>
        <v>0</v>
      </c>
      <c r="U335" s="1">
        <f t="shared" si="42"/>
        <v>0</v>
      </c>
      <c r="V335" s="1">
        <f t="shared" si="43"/>
        <v>0</v>
      </c>
      <c r="W335" s="1">
        <f t="shared" si="44"/>
        <v>0</v>
      </c>
      <c r="X335" s="1">
        <f t="shared" si="45"/>
        <v>0</v>
      </c>
      <c r="Y335" s="1">
        <f t="shared" si="46"/>
        <v>0</v>
      </c>
      <c r="Z335" s="1">
        <f t="shared" si="47"/>
        <v>0</v>
      </c>
      <c r="AA335" s="1">
        <f t="shared" si="48"/>
        <v>0</v>
      </c>
    </row>
    <row r="336" spans="2:27" x14ac:dyDescent="0.3">
      <c r="B336" s="12"/>
      <c r="J336" s="13"/>
      <c r="T336" s="1">
        <f t="shared" si="41"/>
        <v>0</v>
      </c>
      <c r="U336" s="1">
        <f t="shared" si="42"/>
        <v>0</v>
      </c>
      <c r="V336" s="1">
        <f t="shared" si="43"/>
        <v>0</v>
      </c>
      <c r="W336" s="1">
        <f t="shared" si="44"/>
        <v>0</v>
      </c>
      <c r="X336" s="1">
        <f t="shared" si="45"/>
        <v>0</v>
      </c>
      <c r="Y336" s="1">
        <f t="shared" si="46"/>
        <v>0</v>
      </c>
      <c r="Z336" s="1">
        <f t="shared" si="47"/>
        <v>0</v>
      </c>
      <c r="AA336" s="1">
        <f t="shared" si="48"/>
        <v>0</v>
      </c>
    </row>
    <row r="337" spans="2:27" x14ac:dyDescent="0.3">
      <c r="B337" s="12"/>
      <c r="J337" s="13"/>
      <c r="T337" s="1">
        <f t="shared" si="41"/>
        <v>0</v>
      </c>
      <c r="U337" s="1">
        <f t="shared" si="42"/>
        <v>0</v>
      </c>
      <c r="V337" s="1">
        <f t="shared" si="43"/>
        <v>0</v>
      </c>
      <c r="W337" s="1">
        <f t="shared" si="44"/>
        <v>0</v>
      </c>
      <c r="X337" s="1">
        <f t="shared" si="45"/>
        <v>0</v>
      </c>
      <c r="Y337" s="1">
        <f t="shared" si="46"/>
        <v>0</v>
      </c>
      <c r="Z337" s="1">
        <f t="shared" si="47"/>
        <v>0</v>
      </c>
      <c r="AA337" s="1">
        <f t="shared" si="48"/>
        <v>0</v>
      </c>
    </row>
    <row r="338" spans="2:27" x14ac:dyDescent="0.3">
      <c r="B338" s="12"/>
      <c r="J338" s="13"/>
      <c r="T338" s="1">
        <f t="shared" si="41"/>
        <v>0</v>
      </c>
      <c r="U338" s="1">
        <f t="shared" si="42"/>
        <v>0</v>
      </c>
      <c r="V338" s="1">
        <f t="shared" si="43"/>
        <v>0</v>
      </c>
      <c r="W338" s="1">
        <f t="shared" si="44"/>
        <v>0</v>
      </c>
      <c r="X338" s="1">
        <f t="shared" si="45"/>
        <v>0</v>
      </c>
      <c r="Y338" s="1">
        <f t="shared" si="46"/>
        <v>0</v>
      </c>
      <c r="Z338" s="1">
        <f t="shared" si="47"/>
        <v>0</v>
      </c>
      <c r="AA338" s="1">
        <f t="shared" si="48"/>
        <v>0</v>
      </c>
    </row>
    <row r="339" spans="2:27" x14ac:dyDescent="0.3">
      <c r="B339" s="12"/>
      <c r="I339" s="14"/>
      <c r="J339" s="13"/>
      <c r="T339" s="1">
        <f t="shared" si="41"/>
        <v>0</v>
      </c>
      <c r="U339" s="1">
        <f t="shared" si="42"/>
        <v>0</v>
      </c>
      <c r="V339" s="1">
        <f t="shared" si="43"/>
        <v>0</v>
      </c>
      <c r="W339" s="1">
        <f t="shared" si="44"/>
        <v>0</v>
      </c>
      <c r="X339" s="1">
        <f t="shared" si="45"/>
        <v>0</v>
      </c>
      <c r="Y339" s="1">
        <f t="shared" si="46"/>
        <v>0</v>
      </c>
      <c r="Z339" s="1">
        <f t="shared" si="47"/>
        <v>0</v>
      </c>
      <c r="AA339" s="1">
        <f t="shared" si="48"/>
        <v>0</v>
      </c>
    </row>
    <row r="340" spans="2:27" x14ac:dyDescent="0.3">
      <c r="B340" s="12"/>
      <c r="I340" s="14"/>
      <c r="J340" s="13"/>
      <c r="T340" s="1">
        <f t="shared" si="41"/>
        <v>0</v>
      </c>
      <c r="U340" s="1">
        <f t="shared" si="42"/>
        <v>0</v>
      </c>
      <c r="V340" s="1">
        <f t="shared" si="43"/>
        <v>0</v>
      </c>
      <c r="W340" s="1">
        <f t="shared" si="44"/>
        <v>0</v>
      </c>
      <c r="X340" s="1">
        <f t="shared" si="45"/>
        <v>0</v>
      </c>
      <c r="Y340" s="1">
        <f t="shared" si="46"/>
        <v>0</v>
      </c>
      <c r="Z340" s="1">
        <f t="shared" si="47"/>
        <v>0</v>
      </c>
      <c r="AA340" s="1">
        <f t="shared" si="48"/>
        <v>0</v>
      </c>
    </row>
    <row r="341" spans="2:27" x14ac:dyDescent="0.3">
      <c r="B341" s="12"/>
      <c r="I341" s="14"/>
      <c r="J341" s="13"/>
      <c r="T341" s="1">
        <f t="shared" si="41"/>
        <v>0</v>
      </c>
      <c r="U341" s="1">
        <f t="shared" si="42"/>
        <v>0</v>
      </c>
      <c r="V341" s="1">
        <f t="shared" si="43"/>
        <v>0</v>
      </c>
      <c r="W341" s="1">
        <f t="shared" si="44"/>
        <v>0</v>
      </c>
      <c r="X341" s="1">
        <f t="shared" si="45"/>
        <v>0</v>
      </c>
      <c r="Y341" s="1">
        <f t="shared" si="46"/>
        <v>0</v>
      </c>
      <c r="Z341" s="1">
        <f t="shared" si="47"/>
        <v>0</v>
      </c>
      <c r="AA341" s="1">
        <f t="shared" si="48"/>
        <v>0</v>
      </c>
    </row>
    <row r="342" spans="2:27" x14ac:dyDescent="0.3">
      <c r="B342" s="12"/>
      <c r="I342" s="14"/>
      <c r="J342" s="13"/>
      <c r="T342" s="1">
        <f t="shared" si="41"/>
        <v>0</v>
      </c>
      <c r="U342" s="1">
        <f t="shared" si="42"/>
        <v>0</v>
      </c>
      <c r="V342" s="1">
        <f t="shared" si="43"/>
        <v>0</v>
      </c>
      <c r="W342" s="1">
        <f t="shared" si="44"/>
        <v>0</v>
      </c>
      <c r="X342" s="1">
        <f t="shared" si="45"/>
        <v>0</v>
      </c>
      <c r="Y342" s="1">
        <f t="shared" si="46"/>
        <v>0</v>
      </c>
      <c r="Z342" s="1">
        <f t="shared" si="47"/>
        <v>0</v>
      </c>
      <c r="AA342" s="1">
        <f t="shared" si="48"/>
        <v>0</v>
      </c>
    </row>
    <row r="343" spans="2:27" x14ac:dyDescent="0.3">
      <c r="B343" s="12"/>
      <c r="I343" s="14"/>
      <c r="J343" s="13"/>
      <c r="T343" s="1">
        <f t="shared" si="41"/>
        <v>0</v>
      </c>
      <c r="U343" s="1">
        <f t="shared" si="42"/>
        <v>0</v>
      </c>
      <c r="V343" s="1">
        <f t="shared" si="43"/>
        <v>0</v>
      </c>
      <c r="W343" s="1">
        <f t="shared" si="44"/>
        <v>0</v>
      </c>
      <c r="X343" s="1">
        <f t="shared" si="45"/>
        <v>0</v>
      </c>
      <c r="Y343" s="1">
        <f t="shared" si="46"/>
        <v>0</v>
      </c>
      <c r="Z343" s="1">
        <f t="shared" si="47"/>
        <v>0</v>
      </c>
      <c r="AA343" s="1">
        <f t="shared" si="48"/>
        <v>0</v>
      </c>
    </row>
    <row r="344" spans="2:27" x14ac:dyDescent="0.3">
      <c r="B344" s="12"/>
      <c r="I344" s="14"/>
      <c r="J344" s="13"/>
      <c r="T344" s="1">
        <f t="shared" si="41"/>
        <v>0</v>
      </c>
      <c r="U344" s="1">
        <f t="shared" si="42"/>
        <v>0</v>
      </c>
      <c r="V344" s="1">
        <f t="shared" si="43"/>
        <v>0</v>
      </c>
      <c r="W344" s="1">
        <f t="shared" si="44"/>
        <v>0</v>
      </c>
      <c r="X344" s="1">
        <f t="shared" si="45"/>
        <v>0</v>
      </c>
      <c r="Y344" s="1">
        <f t="shared" si="46"/>
        <v>0</v>
      </c>
      <c r="Z344" s="1">
        <f t="shared" si="47"/>
        <v>0</v>
      </c>
      <c r="AA344" s="1">
        <f t="shared" si="48"/>
        <v>0</v>
      </c>
    </row>
    <row r="345" spans="2:27" x14ac:dyDescent="0.3">
      <c r="B345" s="12"/>
      <c r="I345" s="14"/>
      <c r="J345" s="13"/>
      <c r="T345" s="1">
        <f t="shared" si="41"/>
        <v>0</v>
      </c>
      <c r="U345" s="1">
        <f t="shared" si="42"/>
        <v>0</v>
      </c>
      <c r="V345" s="1">
        <f t="shared" si="43"/>
        <v>0</v>
      </c>
      <c r="W345" s="1">
        <f t="shared" si="44"/>
        <v>0</v>
      </c>
      <c r="X345" s="1">
        <f t="shared" si="45"/>
        <v>0</v>
      </c>
      <c r="Y345" s="1">
        <f t="shared" si="46"/>
        <v>0</v>
      </c>
      <c r="Z345" s="1">
        <f t="shared" si="47"/>
        <v>0</v>
      </c>
      <c r="AA345" s="1">
        <f t="shared" si="48"/>
        <v>0</v>
      </c>
    </row>
    <row r="346" spans="2:27" x14ac:dyDescent="0.3">
      <c r="B346" s="12"/>
      <c r="I346" s="14"/>
      <c r="J346" s="13"/>
      <c r="T346" s="1">
        <f t="shared" si="41"/>
        <v>0</v>
      </c>
      <c r="U346" s="1">
        <f t="shared" si="42"/>
        <v>0</v>
      </c>
      <c r="V346" s="1">
        <f t="shared" si="43"/>
        <v>0</v>
      </c>
      <c r="W346" s="1">
        <f t="shared" si="44"/>
        <v>0</v>
      </c>
      <c r="X346" s="1">
        <f t="shared" si="45"/>
        <v>0</v>
      </c>
      <c r="Y346" s="1">
        <f t="shared" si="46"/>
        <v>0</v>
      </c>
      <c r="Z346" s="1">
        <f t="shared" si="47"/>
        <v>0</v>
      </c>
      <c r="AA346" s="1">
        <f t="shared" si="48"/>
        <v>0</v>
      </c>
    </row>
    <row r="347" spans="2:27" x14ac:dyDescent="0.3">
      <c r="B347" s="12"/>
      <c r="I347" s="14"/>
      <c r="J347" s="13"/>
      <c r="T347" s="1">
        <f t="shared" si="41"/>
        <v>0</v>
      </c>
      <c r="U347" s="1">
        <f t="shared" si="42"/>
        <v>0</v>
      </c>
      <c r="V347" s="1">
        <f t="shared" si="43"/>
        <v>0</v>
      </c>
      <c r="W347" s="1">
        <f t="shared" si="44"/>
        <v>0</v>
      </c>
      <c r="X347" s="1">
        <f t="shared" si="45"/>
        <v>0</v>
      </c>
      <c r="Y347" s="1">
        <f t="shared" si="46"/>
        <v>0</v>
      </c>
      <c r="Z347" s="1">
        <f t="shared" si="47"/>
        <v>0</v>
      </c>
      <c r="AA347" s="1">
        <f t="shared" si="48"/>
        <v>0</v>
      </c>
    </row>
    <row r="348" spans="2:27" x14ac:dyDescent="0.3">
      <c r="B348" s="12"/>
      <c r="I348" s="14"/>
      <c r="J348" s="13"/>
      <c r="T348" s="1">
        <f t="shared" si="41"/>
        <v>0</v>
      </c>
      <c r="U348" s="1">
        <f t="shared" si="42"/>
        <v>0</v>
      </c>
      <c r="V348" s="1">
        <f t="shared" si="43"/>
        <v>0</v>
      </c>
      <c r="W348" s="1">
        <f t="shared" si="44"/>
        <v>0</v>
      </c>
      <c r="X348" s="1">
        <f t="shared" si="45"/>
        <v>0</v>
      </c>
      <c r="Y348" s="1">
        <f t="shared" si="46"/>
        <v>0</v>
      </c>
      <c r="Z348" s="1">
        <f t="shared" si="47"/>
        <v>0</v>
      </c>
      <c r="AA348" s="1">
        <f t="shared" si="48"/>
        <v>0</v>
      </c>
    </row>
    <row r="349" spans="2:27" x14ac:dyDescent="0.3">
      <c r="B349" s="12"/>
      <c r="I349" s="14"/>
      <c r="J349" s="13"/>
      <c r="T349" s="1">
        <f t="shared" si="41"/>
        <v>0</v>
      </c>
      <c r="U349" s="1">
        <f t="shared" si="42"/>
        <v>0</v>
      </c>
      <c r="V349" s="1">
        <f t="shared" si="43"/>
        <v>0</v>
      </c>
      <c r="W349" s="1">
        <f t="shared" si="44"/>
        <v>0</v>
      </c>
      <c r="X349" s="1">
        <f t="shared" si="45"/>
        <v>0</v>
      </c>
      <c r="Y349" s="1">
        <f t="shared" si="46"/>
        <v>0</v>
      </c>
      <c r="Z349" s="1">
        <f t="shared" si="47"/>
        <v>0</v>
      </c>
      <c r="AA349" s="1">
        <f t="shared" si="48"/>
        <v>0</v>
      </c>
    </row>
    <row r="350" spans="2:27" x14ac:dyDescent="0.3">
      <c r="B350" s="12"/>
      <c r="I350" s="14"/>
      <c r="J350" s="13"/>
      <c r="T350" s="1">
        <f t="shared" si="41"/>
        <v>0</v>
      </c>
      <c r="U350" s="1">
        <f t="shared" si="42"/>
        <v>0</v>
      </c>
      <c r="V350" s="1">
        <f t="shared" si="43"/>
        <v>0</v>
      </c>
      <c r="W350" s="1">
        <f t="shared" si="44"/>
        <v>0</v>
      </c>
      <c r="X350" s="1">
        <f t="shared" si="45"/>
        <v>0</v>
      </c>
      <c r="Y350" s="1">
        <f t="shared" si="46"/>
        <v>0</v>
      </c>
      <c r="Z350" s="1">
        <f t="shared" si="47"/>
        <v>0</v>
      </c>
      <c r="AA350" s="1">
        <f t="shared" si="48"/>
        <v>0</v>
      </c>
    </row>
    <row r="351" spans="2:27" x14ac:dyDescent="0.3">
      <c r="B351" s="12"/>
      <c r="I351" s="14"/>
      <c r="J351" s="13"/>
      <c r="T351" s="1">
        <f t="shared" si="41"/>
        <v>0</v>
      </c>
      <c r="U351" s="1">
        <f t="shared" si="42"/>
        <v>0</v>
      </c>
      <c r="V351" s="1">
        <f t="shared" si="43"/>
        <v>0</v>
      </c>
      <c r="W351" s="1">
        <f t="shared" si="44"/>
        <v>0</v>
      </c>
      <c r="X351" s="1">
        <f t="shared" si="45"/>
        <v>0</v>
      </c>
      <c r="Y351" s="1">
        <f t="shared" si="46"/>
        <v>0</v>
      </c>
      <c r="Z351" s="1">
        <f t="shared" si="47"/>
        <v>0</v>
      </c>
      <c r="AA351" s="1">
        <f t="shared" si="48"/>
        <v>0</v>
      </c>
    </row>
    <row r="352" spans="2:27" x14ac:dyDescent="0.3">
      <c r="B352" s="12"/>
      <c r="I352" s="14"/>
      <c r="J352" s="13"/>
      <c r="T352" s="1">
        <f t="shared" si="41"/>
        <v>0</v>
      </c>
      <c r="U352" s="1">
        <f t="shared" si="42"/>
        <v>0</v>
      </c>
      <c r="V352" s="1">
        <f t="shared" si="43"/>
        <v>0</v>
      </c>
      <c r="W352" s="1">
        <f t="shared" si="44"/>
        <v>0</v>
      </c>
      <c r="X352" s="1">
        <f t="shared" si="45"/>
        <v>0</v>
      </c>
      <c r="Y352" s="1">
        <f t="shared" si="46"/>
        <v>0</v>
      </c>
      <c r="Z352" s="1">
        <f t="shared" si="47"/>
        <v>0</v>
      </c>
      <c r="AA352" s="1">
        <f t="shared" si="48"/>
        <v>0</v>
      </c>
    </row>
    <row r="353" spans="2:27" x14ac:dyDescent="0.3">
      <c r="B353" s="12"/>
      <c r="I353" s="14"/>
      <c r="J353" s="13"/>
      <c r="T353" s="1">
        <f t="shared" si="41"/>
        <v>0</v>
      </c>
      <c r="U353" s="1">
        <f t="shared" si="42"/>
        <v>0</v>
      </c>
      <c r="V353" s="1">
        <f t="shared" si="43"/>
        <v>0</v>
      </c>
      <c r="W353" s="1">
        <f t="shared" si="44"/>
        <v>0</v>
      </c>
      <c r="X353" s="1">
        <f t="shared" si="45"/>
        <v>0</v>
      </c>
      <c r="Y353" s="1">
        <f t="shared" si="46"/>
        <v>0</v>
      </c>
      <c r="Z353" s="1">
        <f t="shared" si="47"/>
        <v>0</v>
      </c>
      <c r="AA353" s="1">
        <f t="shared" si="48"/>
        <v>0</v>
      </c>
    </row>
    <row r="354" spans="2:27" x14ac:dyDescent="0.3">
      <c r="B354" s="12"/>
      <c r="I354" s="14"/>
      <c r="J354" s="13"/>
      <c r="T354" s="1">
        <f t="shared" si="41"/>
        <v>0</v>
      </c>
      <c r="U354" s="1">
        <f t="shared" si="42"/>
        <v>0</v>
      </c>
      <c r="V354" s="1">
        <f t="shared" si="43"/>
        <v>0</v>
      </c>
      <c r="W354" s="1">
        <f t="shared" si="44"/>
        <v>0</v>
      </c>
      <c r="X354" s="1">
        <f t="shared" si="45"/>
        <v>0</v>
      </c>
      <c r="Y354" s="1">
        <f t="shared" si="46"/>
        <v>0</v>
      </c>
      <c r="Z354" s="1">
        <f t="shared" si="47"/>
        <v>0</v>
      </c>
      <c r="AA354" s="1">
        <f t="shared" si="48"/>
        <v>0</v>
      </c>
    </row>
    <row r="355" spans="2:27" x14ac:dyDescent="0.3">
      <c r="B355" s="12"/>
      <c r="I355" s="14"/>
      <c r="J355" s="13"/>
      <c r="T355" s="1">
        <f t="shared" si="41"/>
        <v>0</v>
      </c>
      <c r="U355" s="1">
        <f t="shared" si="42"/>
        <v>0</v>
      </c>
      <c r="V355" s="1">
        <f t="shared" si="43"/>
        <v>0</v>
      </c>
      <c r="W355" s="1">
        <f t="shared" si="44"/>
        <v>0</v>
      </c>
      <c r="X355" s="1">
        <f t="shared" si="45"/>
        <v>0</v>
      </c>
      <c r="Y355" s="1">
        <f t="shared" si="46"/>
        <v>0</v>
      </c>
      <c r="Z355" s="1">
        <f t="shared" si="47"/>
        <v>0</v>
      </c>
      <c r="AA355" s="1">
        <f t="shared" si="48"/>
        <v>0</v>
      </c>
    </row>
    <row r="356" spans="2:27" x14ac:dyDescent="0.3">
      <c r="B356" s="12"/>
      <c r="I356" s="14"/>
      <c r="J356" s="13"/>
      <c r="T356" s="1">
        <f t="shared" si="41"/>
        <v>0</v>
      </c>
      <c r="U356" s="1">
        <f t="shared" si="42"/>
        <v>0</v>
      </c>
      <c r="V356" s="1">
        <f t="shared" si="43"/>
        <v>0</v>
      </c>
      <c r="W356" s="1">
        <f t="shared" si="44"/>
        <v>0</v>
      </c>
      <c r="X356" s="1">
        <f t="shared" si="45"/>
        <v>0</v>
      </c>
      <c r="Y356" s="1">
        <f t="shared" si="46"/>
        <v>0</v>
      </c>
      <c r="Z356" s="1">
        <f t="shared" si="47"/>
        <v>0</v>
      </c>
      <c r="AA356" s="1">
        <f t="shared" si="48"/>
        <v>0</v>
      </c>
    </row>
    <row r="357" spans="2:27" x14ac:dyDescent="0.3">
      <c r="B357" s="12"/>
      <c r="I357" s="14"/>
      <c r="J357" s="13"/>
      <c r="T357" s="1">
        <f t="shared" si="41"/>
        <v>0</v>
      </c>
      <c r="U357" s="1">
        <f t="shared" si="42"/>
        <v>0</v>
      </c>
      <c r="V357" s="1">
        <f t="shared" si="43"/>
        <v>0</v>
      </c>
      <c r="W357" s="1">
        <f t="shared" si="44"/>
        <v>0</v>
      </c>
      <c r="X357" s="1">
        <f t="shared" si="45"/>
        <v>0</v>
      </c>
      <c r="Y357" s="1">
        <f t="shared" si="46"/>
        <v>0</v>
      </c>
      <c r="Z357" s="1">
        <f t="shared" si="47"/>
        <v>0</v>
      </c>
      <c r="AA357" s="1">
        <f t="shared" si="48"/>
        <v>0</v>
      </c>
    </row>
    <row r="358" spans="2:27" x14ac:dyDescent="0.3">
      <c r="B358" s="12"/>
      <c r="I358" s="14"/>
      <c r="J358" s="13"/>
      <c r="T358" s="1">
        <f t="shared" si="41"/>
        <v>0</v>
      </c>
      <c r="U358" s="1">
        <f t="shared" si="42"/>
        <v>0</v>
      </c>
      <c r="V358" s="1">
        <f t="shared" si="43"/>
        <v>0</v>
      </c>
      <c r="W358" s="1">
        <f t="shared" si="44"/>
        <v>0</v>
      </c>
      <c r="X358" s="1">
        <f t="shared" si="45"/>
        <v>0</v>
      </c>
      <c r="Y358" s="1">
        <f t="shared" si="46"/>
        <v>0</v>
      </c>
      <c r="Z358" s="1">
        <f t="shared" si="47"/>
        <v>0</v>
      </c>
      <c r="AA358" s="1">
        <f t="shared" si="48"/>
        <v>0</v>
      </c>
    </row>
    <row r="359" spans="2:27" x14ac:dyDescent="0.3">
      <c r="B359" s="12"/>
      <c r="I359" s="14"/>
      <c r="J359" s="13"/>
      <c r="T359" s="1">
        <f t="shared" si="41"/>
        <v>0</v>
      </c>
      <c r="U359" s="1">
        <f t="shared" si="42"/>
        <v>0</v>
      </c>
      <c r="V359" s="1">
        <f t="shared" si="43"/>
        <v>0</v>
      </c>
      <c r="W359" s="1">
        <f t="shared" si="44"/>
        <v>0</v>
      </c>
      <c r="X359" s="1">
        <f t="shared" si="45"/>
        <v>0</v>
      </c>
      <c r="Y359" s="1">
        <f t="shared" si="46"/>
        <v>0</v>
      </c>
      <c r="Z359" s="1">
        <f t="shared" si="47"/>
        <v>0</v>
      </c>
      <c r="AA359" s="1">
        <f t="shared" si="48"/>
        <v>0</v>
      </c>
    </row>
    <row r="360" spans="2:27" x14ac:dyDescent="0.3">
      <c r="B360" s="12"/>
      <c r="I360" s="14"/>
      <c r="J360" s="13"/>
      <c r="T360" s="1">
        <f t="shared" si="41"/>
        <v>0</v>
      </c>
      <c r="U360" s="1">
        <f t="shared" si="42"/>
        <v>0</v>
      </c>
      <c r="V360" s="1">
        <f t="shared" si="43"/>
        <v>0</v>
      </c>
      <c r="W360" s="1">
        <f t="shared" si="44"/>
        <v>0</v>
      </c>
      <c r="X360" s="1">
        <f t="shared" si="45"/>
        <v>0</v>
      </c>
      <c r="Y360" s="1">
        <f t="shared" si="46"/>
        <v>0</v>
      </c>
      <c r="Z360" s="1">
        <f t="shared" si="47"/>
        <v>0</v>
      </c>
      <c r="AA360" s="1">
        <f t="shared" si="48"/>
        <v>0</v>
      </c>
    </row>
    <row r="361" spans="2:27" x14ac:dyDescent="0.3">
      <c r="B361" s="12"/>
      <c r="I361" s="14"/>
      <c r="J361" s="13"/>
      <c r="T361" s="1">
        <f t="shared" si="41"/>
        <v>0</v>
      </c>
      <c r="U361" s="1">
        <f t="shared" si="42"/>
        <v>0</v>
      </c>
      <c r="V361" s="1">
        <f t="shared" si="43"/>
        <v>0</v>
      </c>
      <c r="W361" s="1">
        <f t="shared" si="44"/>
        <v>0</v>
      </c>
      <c r="X361" s="1">
        <f t="shared" si="45"/>
        <v>0</v>
      </c>
      <c r="Y361" s="1">
        <f t="shared" si="46"/>
        <v>0</v>
      </c>
      <c r="Z361" s="1">
        <f t="shared" si="47"/>
        <v>0</v>
      </c>
      <c r="AA361" s="1">
        <f t="shared" si="48"/>
        <v>0</v>
      </c>
    </row>
    <row r="362" spans="2:27" x14ac:dyDescent="0.3">
      <c r="B362" s="12"/>
      <c r="I362" s="14"/>
      <c r="J362" s="13"/>
      <c r="T362" s="1">
        <f t="shared" si="41"/>
        <v>0</v>
      </c>
      <c r="U362" s="1">
        <f t="shared" si="42"/>
        <v>0</v>
      </c>
      <c r="V362" s="1">
        <f t="shared" si="43"/>
        <v>0</v>
      </c>
      <c r="W362" s="1">
        <f t="shared" si="44"/>
        <v>0</v>
      </c>
      <c r="X362" s="1">
        <f t="shared" si="45"/>
        <v>0</v>
      </c>
      <c r="Y362" s="1">
        <f t="shared" si="46"/>
        <v>0</v>
      </c>
      <c r="Z362" s="1">
        <f t="shared" si="47"/>
        <v>0</v>
      </c>
      <c r="AA362" s="1">
        <f t="shared" si="48"/>
        <v>0</v>
      </c>
    </row>
    <row r="363" spans="2:27" x14ac:dyDescent="0.3">
      <c r="B363" s="12"/>
      <c r="I363" s="14"/>
      <c r="J363" s="13"/>
      <c r="T363" s="1">
        <f t="shared" si="41"/>
        <v>0</v>
      </c>
      <c r="U363" s="1">
        <f t="shared" si="42"/>
        <v>0</v>
      </c>
      <c r="V363" s="1">
        <f t="shared" si="43"/>
        <v>0</v>
      </c>
      <c r="W363" s="1">
        <f t="shared" si="44"/>
        <v>0</v>
      </c>
      <c r="X363" s="1">
        <f t="shared" si="45"/>
        <v>0</v>
      </c>
      <c r="Y363" s="1">
        <f t="shared" si="46"/>
        <v>0</v>
      </c>
      <c r="Z363" s="1">
        <f t="shared" si="47"/>
        <v>0</v>
      </c>
      <c r="AA363" s="1">
        <f t="shared" si="48"/>
        <v>0</v>
      </c>
    </row>
    <row r="364" spans="2:27" x14ac:dyDescent="0.3">
      <c r="B364" s="12"/>
      <c r="I364" s="14"/>
      <c r="J364" s="13"/>
      <c r="T364" s="1">
        <f t="shared" si="41"/>
        <v>0</v>
      </c>
      <c r="U364" s="1">
        <f t="shared" si="42"/>
        <v>0</v>
      </c>
      <c r="V364" s="1">
        <f t="shared" si="43"/>
        <v>0</v>
      </c>
      <c r="W364" s="1">
        <f t="shared" si="44"/>
        <v>0</v>
      </c>
      <c r="X364" s="1">
        <f t="shared" si="45"/>
        <v>0</v>
      </c>
      <c r="Y364" s="1">
        <f t="shared" si="46"/>
        <v>0</v>
      </c>
      <c r="Z364" s="1">
        <f t="shared" si="47"/>
        <v>0</v>
      </c>
      <c r="AA364" s="1">
        <f t="shared" si="48"/>
        <v>0</v>
      </c>
    </row>
    <row r="365" spans="2:27" x14ac:dyDescent="0.3">
      <c r="B365" s="12"/>
      <c r="I365" s="14"/>
      <c r="J365" s="13"/>
      <c r="T365" s="1">
        <f t="shared" si="41"/>
        <v>0</v>
      </c>
      <c r="U365" s="1">
        <f t="shared" si="42"/>
        <v>0</v>
      </c>
      <c r="V365" s="1">
        <f t="shared" si="43"/>
        <v>0</v>
      </c>
      <c r="W365" s="1">
        <f t="shared" si="44"/>
        <v>0</v>
      </c>
      <c r="X365" s="1">
        <f t="shared" si="45"/>
        <v>0</v>
      </c>
      <c r="Y365" s="1">
        <f t="shared" si="46"/>
        <v>0</v>
      </c>
      <c r="Z365" s="1">
        <f t="shared" si="47"/>
        <v>0</v>
      </c>
      <c r="AA365" s="1">
        <f t="shared" si="48"/>
        <v>0</v>
      </c>
    </row>
    <row r="366" spans="2:27" x14ac:dyDescent="0.3">
      <c r="B366" s="12"/>
      <c r="I366" s="14"/>
      <c r="J366" s="13"/>
      <c r="T366" s="1">
        <f t="shared" si="41"/>
        <v>0</v>
      </c>
      <c r="U366" s="1">
        <f t="shared" si="42"/>
        <v>0</v>
      </c>
      <c r="V366" s="1">
        <f t="shared" si="43"/>
        <v>0</v>
      </c>
      <c r="W366" s="1">
        <f t="shared" si="44"/>
        <v>0</v>
      </c>
      <c r="X366" s="1">
        <f t="shared" si="45"/>
        <v>0</v>
      </c>
      <c r="Y366" s="1">
        <f t="shared" si="46"/>
        <v>0</v>
      </c>
      <c r="Z366" s="1">
        <f t="shared" si="47"/>
        <v>0</v>
      </c>
      <c r="AA366" s="1">
        <f t="shared" si="48"/>
        <v>0</v>
      </c>
    </row>
    <row r="367" spans="2:27" x14ac:dyDescent="0.3">
      <c r="B367" s="12"/>
      <c r="I367" s="14"/>
      <c r="J367" s="13"/>
      <c r="T367" s="1">
        <f t="shared" si="41"/>
        <v>0</v>
      </c>
      <c r="U367" s="1">
        <f t="shared" si="42"/>
        <v>0</v>
      </c>
      <c r="V367" s="1">
        <f t="shared" si="43"/>
        <v>0</v>
      </c>
      <c r="W367" s="1">
        <f t="shared" si="44"/>
        <v>0</v>
      </c>
      <c r="X367" s="1">
        <f t="shared" si="45"/>
        <v>0</v>
      </c>
      <c r="Y367" s="1">
        <f t="shared" si="46"/>
        <v>0</v>
      </c>
      <c r="Z367" s="1">
        <f t="shared" si="47"/>
        <v>0</v>
      </c>
      <c r="AA367" s="1">
        <f t="shared" si="48"/>
        <v>0</v>
      </c>
    </row>
    <row r="368" spans="2:27" x14ac:dyDescent="0.3">
      <c r="B368" s="12"/>
      <c r="I368" s="14"/>
      <c r="J368" s="13"/>
      <c r="T368" s="1">
        <f t="shared" si="41"/>
        <v>0</v>
      </c>
      <c r="U368" s="1">
        <f t="shared" si="42"/>
        <v>0</v>
      </c>
      <c r="V368" s="1">
        <f t="shared" si="43"/>
        <v>0</v>
      </c>
      <c r="W368" s="1">
        <f t="shared" si="44"/>
        <v>0</v>
      </c>
      <c r="X368" s="1">
        <f t="shared" si="45"/>
        <v>0</v>
      </c>
      <c r="Y368" s="1">
        <f t="shared" si="46"/>
        <v>0</v>
      </c>
      <c r="Z368" s="1">
        <f t="shared" si="47"/>
        <v>0</v>
      </c>
      <c r="AA368" s="1">
        <f t="shared" si="48"/>
        <v>0</v>
      </c>
    </row>
    <row r="369" spans="2:27" x14ac:dyDescent="0.3">
      <c r="B369" s="12"/>
      <c r="I369" s="14"/>
      <c r="J369" s="13"/>
      <c r="T369" s="1">
        <f t="shared" si="41"/>
        <v>0</v>
      </c>
      <c r="U369" s="1">
        <f t="shared" si="42"/>
        <v>0</v>
      </c>
      <c r="V369" s="1">
        <f t="shared" si="43"/>
        <v>0</v>
      </c>
      <c r="W369" s="1">
        <f t="shared" si="44"/>
        <v>0</v>
      </c>
      <c r="X369" s="1">
        <f t="shared" si="45"/>
        <v>0</v>
      </c>
      <c r="Y369" s="1">
        <f t="shared" si="46"/>
        <v>0</v>
      </c>
      <c r="Z369" s="1">
        <f t="shared" si="47"/>
        <v>0</v>
      </c>
      <c r="AA369" s="1">
        <f t="shared" si="48"/>
        <v>0</v>
      </c>
    </row>
    <row r="370" spans="2:27" x14ac:dyDescent="0.3">
      <c r="B370" s="12"/>
      <c r="I370" s="14"/>
      <c r="J370" s="13"/>
      <c r="T370" s="1">
        <f t="shared" si="41"/>
        <v>0</v>
      </c>
      <c r="U370" s="1">
        <f t="shared" si="42"/>
        <v>0</v>
      </c>
      <c r="V370" s="1">
        <f t="shared" si="43"/>
        <v>0</v>
      </c>
      <c r="W370" s="1">
        <f t="shared" si="44"/>
        <v>0</v>
      </c>
      <c r="X370" s="1">
        <f t="shared" si="45"/>
        <v>0</v>
      </c>
      <c r="Y370" s="1">
        <f t="shared" si="46"/>
        <v>0</v>
      </c>
      <c r="Z370" s="1">
        <f t="shared" si="47"/>
        <v>0</v>
      </c>
      <c r="AA370" s="1">
        <f t="shared" si="48"/>
        <v>0</v>
      </c>
    </row>
    <row r="371" spans="2:27" x14ac:dyDescent="0.3">
      <c r="B371" s="12"/>
      <c r="I371" s="14"/>
      <c r="J371" s="13"/>
      <c r="T371" s="1">
        <f t="shared" si="41"/>
        <v>0</v>
      </c>
      <c r="U371" s="1">
        <f t="shared" si="42"/>
        <v>0</v>
      </c>
      <c r="V371" s="1">
        <f t="shared" si="43"/>
        <v>0</v>
      </c>
      <c r="W371" s="1">
        <f t="shared" si="44"/>
        <v>0</v>
      </c>
      <c r="X371" s="1">
        <f t="shared" si="45"/>
        <v>0</v>
      </c>
      <c r="Y371" s="1">
        <f t="shared" si="46"/>
        <v>0</v>
      </c>
      <c r="Z371" s="1">
        <f t="shared" si="47"/>
        <v>0</v>
      </c>
      <c r="AA371" s="1">
        <f t="shared" si="48"/>
        <v>0</v>
      </c>
    </row>
    <row r="372" spans="2:27" x14ac:dyDescent="0.3">
      <c r="B372" s="12"/>
      <c r="I372" s="14"/>
      <c r="J372" s="13"/>
      <c r="T372" s="1">
        <f t="shared" si="41"/>
        <v>0</v>
      </c>
      <c r="U372" s="1">
        <f t="shared" si="42"/>
        <v>0</v>
      </c>
      <c r="V372" s="1">
        <f t="shared" si="43"/>
        <v>0</v>
      </c>
      <c r="W372" s="1">
        <f t="shared" si="44"/>
        <v>0</v>
      </c>
      <c r="X372" s="1">
        <f t="shared" si="45"/>
        <v>0</v>
      </c>
      <c r="Y372" s="1">
        <f t="shared" si="46"/>
        <v>0</v>
      </c>
      <c r="Z372" s="1">
        <f t="shared" si="47"/>
        <v>0</v>
      </c>
      <c r="AA372" s="1">
        <f t="shared" si="48"/>
        <v>0</v>
      </c>
    </row>
    <row r="373" spans="2:27" x14ac:dyDescent="0.3">
      <c r="B373" s="12"/>
      <c r="I373" s="14"/>
      <c r="J373" s="13"/>
      <c r="T373" s="1">
        <f t="shared" si="41"/>
        <v>0</v>
      </c>
      <c r="U373" s="1">
        <f t="shared" si="42"/>
        <v>0</v>
      </c>
      <c r="V373" s="1">
        <f t="shared" si="43"/>
        <v>0</v>
      </c>
      <c r="W373" s="1">
        <f t="shared" si="44"/>
        <v>0</v>
      </c>
      <c r="X373" s="1">
        <f t="shared" si="45"/>
        <v>0</v>
      </c>
      <c r="Y373" s="1">
        <f t="shared" si="46"/>
        <v>0</v>
      </c>
      <c r="Z373" s="1">
        <f t="shared" si="47"/>
        <v>0</v>
      </c>
      <c r="AA373" s="1">
        <f t="shared" si="48"/>
        <v>0</v>
      </c>
    </row>
    <row r="374" spans="2:27" x14ac:dyDescent="0.3">
      <c r="B374" s="12"/>
      <c r="I374" s="14"/>
      <c r="J374" s="13"/>
      <c r="T374" s="1">
        <f t="shared" si="41"/>
        <v>0</v>
      </c>
      <c r="U374" s="1">
        <f t="shared" si="42"/>
        <v>0</v>
      </c>
      <c r="V374" s="1">
        <f t="shared" si="43"/>
        <v>0</v>
      </c>
      <c r="W374" s="1">
        <f t="shared" si="44"/>
        <v>0</v>
      </c>
      <c r="X374" s="1">
        <f t="shared" si="45"/>
        <v>0</v>
      </c>
      <c r="Y374" s="1">
        <f t="shared" si="46"/>
        <v>0</v>
      </c>
      <c r="Z374" s="1">
        <f t="shared" si="47"/>
        <v>0</v>
      </c>
      <c r="AA374" s="1">
        <f t="shared" si="48"/>
        <v>0</v>
      </c>
    </row>
    <row r="375" spans="2:27" x14ac:dyDescent="0.3">
      <c r="B375" s="12"/>
      <c r="I375" s="14"/>
      <c r="J375" s="13"/>
      <c r="T375" s="1">
        <f t="shared" si="41"/>
        <v>0</v>
      </c>
      <c r="U375" s="1">
        <f t="shared" si="42"/>
        <v>0</v>
      </c>
      <c r="V375" s="1">
        <f t="shared" si="43"/>
        <v>0</v>
      </c>
      <c r="W375" s="1">
        <f t="shared" si="44"/>
        <v>0</v>
      </c>
      <c r="X375" s="1">
        <f t="shared" si="45"/>
        <v>0</v>
      </c>
      <c r="Y375" s="1">
        <f t="shared" si="46"/>
        <v>0</v>
      </c>
      <c r="Z375" s="1">
        <f t="shared" si="47"/>
        <v>0</v>
      </c>
      <c r="AA375" s="1">
        <f t="shared" si="48"/>
        <v>0</v>
      </c>
    </row>
    <row r="376" spans="2:27" x14ac:dyDescent="0.3">
      <c r="B376" s="12"/>
      <c r="I376" s="14"/>
      <c r="J376" s="13"/>
      <c r="T376" s="1">
        <f t="shared" si="41"/>
        <v>0</v>
      </c>
      <c r="U376" s="1">
        <f t="shared" si="42"/>
        <v>0</v>
      </c>
      <c r="V376" s="1">
        <f t="shared" si="43"/>
        <v>0</v>
      </c>
      <c r="W376" s="1">
        <f t="shared" si="44"/>
        <v>0</v>
      </c>
      <c r="X376" s="1">
        <f t="shared" si="45"/>
        <v>0</v>
      </c>
      <c r="Y376" s="1">
        <f t="shared" si="46"/>
        <v>0</v>
      </c>
      <c r="Z376" s="1">
        <f t="shared" si="47"/>
        <v>0</v>
      </c>
      <c r="AA376" s="1">
        <f t="shared" si="48"/>
        <v>0</v>
      </c>
    </row>
    <row r="377" spans="2:27" x14ac:dyDescent="0.3">
      <c r="B377" s="12"/>
      <c r="I377" s="14"/>
      <c r="J377" s="13"/>
      <c r="T377" s="1">
        <f t="shared" si="41"/>
        <v>0</v>
      </c>
      <c r="U377" s="1">
        <f t="shared" si="42"/>
        <v>0</v>
      </c>
      <c r="V377" s="1">
        <f t="shared" si="43"/>
        <v>0</v>
      </c>
      <c r="W377" s="1">
        <f t="shared" si="44"/>
        <v>0</v>
      </c>
      <c r="X377" s="1">
        <f t="shared" si="45"/>
        <v>0</v>
      </c>
      <c r="Y377" s="1">
        <f t="shared" si="46"/>
        <v>0</v>
      </c>
      <c r="Z377" s="1">
        <f t="shared" si="47"/>
        <v>0</v>
      </c>
      <c r="AA377" s="1">
        <f t="shared" si="48"/>
        <v>0</v>
      </c>
    </row>
    <row r="378" spans="2:27" x14ac:dyDescent="0.3">
      <c r="B378" s="12"/>
      <c r="I378" s="14"/>
      <c r="J378" s="13"/>
      <c r="T378" s="1">
        <f t="shared" si="41"/>
        <v>0</v>
      </c>
      <c r="U378" s="1">
        <f t="shared" si="42"/>
        <v>0</v>
      </c>
      <c r="V378" s="1">
        <f t="shared" si="43"/>
        <v>0</v>
      </c>
      <c r="W378" s="1">
        <f t="shared" si="44"/>
        <v>0</v>
      </c>
      <c r="X378" s="1">
        <f t="shared" si="45"/>
        <v>0</v>
      </c>
      <c r="Y378" s="1">
        <f t="shared" si="46"/>
        <v>0</v>
      </c>
      <c r="Z378" s="1">
        <f t="shared" si="47"/>
        <v>0</v>
      </c>
      <c r="AA378" s="1">
        <f t="shared" si="48"/>
        <v>0</v>
      </c>
    </row>
    <row r="379" spans="2:27" x14ac:dyDescent="0.3">
      <c r="B379" s="12"/>
      <c r="I379" s="14"/>
      <c r="J379" s="13"/>
      <c r="T379" s="1">
        <f t="shared" si="41"/>
        <v>0</v>
      </c>
      <c r="U379" s="1">
        <f t="shared" si="42"/>
        <v>0</v>
      </c>
      <c r="V379" s="1">
        <f t="shared" si="43"/>
        <v>0</v>
      </c>
      <c r="W379" s="1">
        <f t="shared" si="44"/>
        <v>0</v>
      </c>
      <c r="X379" s="1">
        <f t="shared" si="45"/>
        <v>0</v>
      </c>
      <c r="Y379" s="1">
        <f t="shared" si="46"/>
        <v>0</v>
      </c>
      <c r="Z379" s="1">
        <f t="shared" si="47"/>
        <v>0</v>
      </c>
      <c r="AA379" s="1">
        <f t="shared" si="48"/>
        <v>0</v>
      </c>
    </row>
    <row r="380" spans="2:27" x14ac:dyDescent="0.3">
      <c r="B380" s="12"/>
      <c r="I380" s="14"/>
      <c r="J380" s="13"/>
      <c r="T380" s="1">
        <f t="shared" si="41"/>
        <v>0</v>
      </c>
      <c r="U380" s="1">
        <f t="shared" si="42"/>
        <v>0</v>
      </c>
      <c r="V380" s="1">
        <f t="shared" si="43"/>
        <v>0</v>
      </c>
      <c r="W380" s="1">
        <f t="shared" si="44"/>
        <v>0</v>
      </c>
      <c r="X380" s="1">
        <f t="shared" si="45"/>
        <v>0</v>
      </c>
      <c r="Y380" s="1">
        <f t="shared" si="46"/>
        <v>0</v>
      </c>
      <c r="Z380" s="1">
        <f t="shared" si="47"/>
        <v>0</v>
      </c>
      <c r="AA380" s="1">
        <f t="shared" si="48"/>
        <v>0</v>
      </c>
    </row>
    <row r="381" spans="2:27" x14ac:dyDescent="0.3">
      <c r="B381" s="12"/>
      <c r="I381" s="14"/>
      <c r="J381" s="13"/>
      <c r="T381" s="1">
        <f t="shared" si="41"/>
        <v>0</v>
      </c>
      <c r="U381" s="1">
        <f t="shared" si="42"/>
        <v>0</v>
      </c>
      <c r="V381" s="1">
        <f t="shared" si="43"/>
        <v>0</v>
      </c>
      <c r="W381" s="1">
        <f t="shared" si="44"/>
        <v>0</v>
      </c>
      <c r="X381" s="1">
        <f t="shared" si="45"/>
        <v>0</v>
      </c>
      <c r="Y381" s="1">
        <f t="shared" si="46"/>
        <v>0</v>
      </c>
      <c r="Z381" s="1">
        <f t="shared" si="47"/>
        <v>0</v>
      </c>
      <c r="AA381" s="1">
        <f t="shared" si="48"/>
        <v>0</v>
      </c>
    </row>
    <row r="382" spans="2:27" x14ac:dyDescent="0.3">
      <c r="B382" s="12"/>
      <c r="I382" s="14"/>
      <c r="J382" s="13"/>
      <c r="T382" s="1">
        <f t="shared" si="41"/>
        <v>0</v>
      </c>
      <c r="U382" s="1">
        <f t="shared" si="42"/>
        <v>0</v>
      </c>
      <c r="V382" s="1">
        <f t="shared" si="43"/>
        <v>0</v>
      </c>
      <c r="W382" s="1">
        <f t="shared" si="44"/>
        <v>0</v>
      </c>
      <c r="X382" s="1">
        <f t="shared" si="45"/>
        <v>0</v>
      </c>
      <c r="Y382" s="1">
        <f t="shared" si="46"/>
        <v>0</v>
      </c>
      <c r="Z382" s="1">
        <f t="shared" si="47"/>
        <v>0</v>
      </c>
      <c r="AA382" s="1">
        <f t="shared" si="48"/>
        <v>0</v>
      </c>
    </row>
    <row r="383" spans="2:27" x14ac:dyDescent="0.3">
      <c r="B383" s="12"/>
      <c r="I383" s="14"/>
      <c r="J383" s="13"/>
      <c r="T383" s="1">
        <f t="shared" si="41"/>
        <v>0</v>
      </c>
      <c r="U383" s="1">
        <f t="shared" si="42"/>
        <v>0</v>
      </c>
      <c r="V383" s="1">
        <f t="shared" si="43"/>
        <v>0</v>
      </c>
      <c r="W383" s="1">
        <f t="shared" si="44"/>
        <v>0</v>
      </c>
      <c r="X383" s="1">
        <f t="shared" si="45"/>
        <v>0</v>
      </c>
      <c r="Y383" s="1">
        <f t="shared" si="46"/>
        <v>0</v>
      </c>
      <c r="Z383" s="1">
        <f t="shared" si="47"/>
        <v>0</v>
      </c>
      <c r="AA383" s="1">
        <f t="shared" si="48"/>
        <v>0</v>
      </c>
    </row>
    <row r="384" spans="2:27" x14ac:dyDescent="0.3">
      <c r="B384" s="12"/>
      <c r="I384" s="14"/>
      <c r="J384" s="13"/>
      <c r="T384" s="1">
        <f t="shared" si="41"/>
        <v>0</v>
      </c>
      <c r="U384" s="1">
        <f t="shared" si="42"/>
        <v>0</v>
      </c>
      <c r="V384" s="1">
        <f t="shared" si="43"/>
        <v>0</v>
      </c>
      <c r="W384" s="1">
        <f t="shared" si="44"/>
        <v>0</v>
      </c>
      <c r="X384" s="1">
        <f t="shared" si="45"/>
        <v>0</v>
      </c>
      <c r="Y384" s="1">
        <f t="shared" si="46"/>
        <v>0</v>
      </c>
      <c r="Z384" s="1">
        <f t="shared" si="47"/>
        <v>0</v>
      </c>
      <c r="AA384" s="1">
        <f t="shared" si="48"/>
        <v>0</v>
      </c>
    </row>
    <row r="385" spans="2:27" x14ac:dyDescent="0.3">
      <c r="B385" s="12"/>
      <c r="I385" s="14"/>
      <c r="J385" s="13"/>
      <c r="T385" s="1">
        <f t="shared" si="41"/>
        <v>0</v>
      </c>
      <c r="U385" s="1">
        <f t="shared" si="42"/>
        <v>0</v>
      </c>
      <c r="V385" s="1">
        <f t="shared" si="43"/>
        <v>0</v>
      </c>
      <c r="W385" s="1">
        <f t="shared" si="44"/>
        <v>0</v>
      </c>
      <c r="X385" s="1">
        <f t="shared" si="45"/>
        <v>0</v>
      </c>
      <c r="Y385" s="1">
        <f t="shared" si="46"/>
        <v>0</v>
      </c>
      <c r="Z385" s="1">
        <f t="shared" si="47"/>
        <v>0</v>
      </c>
      <c r="AA385" s="1">
        <f t="shared" si="48"/>
        <v>0</v>
      </c>
    </row>
    <row r="386" spans="2:27" x14ac:dyDescent="0.3">
      <c r="B386" s="12"/>
      <c r="I386" s="14"/>
      <c r="J386" s="13"/>
      <c r="T386" s="1">
        <f t="shared" si="41"/>
        <v>0</v>
      </c>
      <c r="U386" s="1">
        <f t="shared" si="42"/>
        <v>0</v>
      </c>
      <c r="V386" s="1">
        <f t="shared" si="43"/>
        <v>0</v>
      </c>
      <c r="W386" s="1">
        <f t="shared" si="44"/>
        <v>0</v>
      </c>
      <c r="X386" s="1">
        <f t="shared" si="45"/>
        <v>0</v>
      </c>
      <c r="Y386" s="1">
        <f t="shared" si="46"/>
        <v>0</v>
      </c>
      <c r="Z386" s="1">
        <f t="shared" si="47"/>
        <v>0</v>
      </c>
      <c r="AA386" s="1">
        <f t="shared" si="48"/>
        <v>0</v>
      </c>
    </row>
    <row r="387" spans="2:27" x14ac:dyDescent="0.3">
      <c r="B387" s="12"/>
      <c r="I387" s="14"/>
      <c r="J387" s="13"/>
      <c r="T387" s="1">
        <f t="shared" si="41"/>
        <v>0</v>
      </c>
      <c r="U387" s="1">
        <f t="shared" si="42"/>
        <v>0</v>
      </c>
      <c r="V387" s="1">
        <f t="shared" si="43"/>
        <v>0</v>
      </c>
      <c r="W387" s="1">
        <f t="shared" si="44"/>
        <v>0</v>
      </c>
      <c r="X387" s="1">
        <f t="shared" si="45"/>
        <v>0</v>
      </c>
      <c r="Y387" s="1">
        <f t="shared" si="46"/>
        <v>0</v>
      </c>
      <c r="Z387" s="1">
        <f t="shared" si="47"/>
        <v>0</v>
      </c>
      <c r="AA387" s="1">
        <f t="shared" si="48"/>
        <v>0</v>
      </c>
    </row>
    <row r="388" spans="2:27" x14ac:dyDescent="0.3">
      <c r="B388" s="12"/>
      <c r="J388" s="13"/>
      <c r="T388" s="1">
        <f t="shared" si="41"/>
        <v>0</v>
      </c>
      <c r="U388" s="1">
        <f t="shared" si="42"/>
        <v>0</v>
      </c>
      <c r="V388" s="1">
        <f t="shared" si="43"/>
        <v>0</v>
      </c>
      <c r="W388" s="1">
        <f t="shared" si="44"/>
        <v>0</v>
      </c>
      <c r="X388" s="1">
        <f t="shared" si="45"/>
        <v>0</v>
      </c>
      <c r="Y388" s="1">
        <f t="shared" si="46"/>
        <v>0</v>
      </c>
      <c r="Z388" s="1">
        <f t="shared" si="47"/>
        <v>0</v>
      </c>
      <c r="AA388" s="1">
        <f t="shared" si="48"/>
        <v>0</v>
      </c>
    </row>
    <row r="389" spans="2:27" x14ac:dyDescent="0.3">
      <c r="B389" s="12"/>
      <c r="J389" s="13"/>
      <c r="T389" s="1">
        <f t="shared" si="41"/>
        <v>0</v>
      </c>
      <c r="U389" s="1">
        <f t="shared" si="42"/>
        <v>0</v>
      </c>
      <c r="V389" s="1">
        <f t="shared" si="43"/>
        <v>0</v>
      </c>
      <c r="W389" s="1">
        <f t="shared" si="44"/>
        <v>0</v>
      </c>
      <c r="X389" s="1">
        <f t="shared" si="45"/>
        <v>0</v>
      </c>
      <c r="Y389" s="1">
        <f t="shared" si="46"/>
        <v>0</v>
      </c>
      <c r="Z389" s="1">
        <f t="shared" si="47"/>
        <v>0</v>
      </c>
      <c r="AA389" s="1">
        <f t="shared" si="48"/>
        <v>0</v>
      </c>
    </row>
    <row r="390" spans="2:27" x14ac:dyDescent="0.3">
      <c r="B390" s="12"/>
      <c r="J390" s="13"/>
      <c r="T390" s="1">
        <f t="shared" si="41"/>
        <v>0</v>
      </c>
      <c r="U390" s="1">
        <f t="shared" si="42"/>
        <v>0</v>
      </c>
      <c r="V390" s="1">
        <f t="shared" si="43"/>
        <v>0</v>
      </c>
      <c r="W390" s="1">
        <f t="shared" si="44"/>
        <v>0</v>
      </c>
      <c r="X390" s="1">
        <f t="shared" si="45"/>
        <v>0</v>
      </c>
      <c r="Y390" s="1">
        <f t="shared" si="46"/>
        <v>0</v>
      </c>
      <c r="Z390" s="1">
        <f t="shared" si="47"/>
        <v>0</v>
      </c>
      <c r="AA390" s="1">
        <f t="shared" si="48"/>
        <v>0</v>
      </c>
    </row>
    <row r="391" spans="2:27" x14ac:dyDescent="0.3">
      <c r="B391" s="12"/>
      <c r="J391" s="13"/>
      <c r="T391" s="1">
        <f t="shared" ref="T391:T454" si="49">IF(AND(G391="-"),0,G391*F391)</f>
        <v>0</v>
      </c>
      <c r="U391" s="1">
        <f t="shared" ref="U391:U454" si="50">IF(AND(O391="-"),0,O391*N391)</f>
        <v>0</v>
      </c>
      <c r="V391" s="1">
        <f t="shared" ref="V391:V454" si="51">IFERROR(C391*H391,0)</f>
        <v>0</v>
      </c>
      <c r="W391" s="1">
        <f t="shared" ref="W391:W454" si="52">IFERROR(K391*P391,0)</f>
        <v>0</v>
      </c>
      <c r="X391" s="1">
        <f t="shared" ref="X391:X454" si="53">IFERROR(G391*1,0)</f>
        <v>0</v>
      </c>
      <c r="Y391" s="1">
        <f t="shared" ref="Y391:Y454" si="54">IFERROR(O391*1,0)</f>
        <v>0</v>
      </c>
      <c r="Z391" s="1">
        <f t="shared" ref="Z391:Z454" si="55">IFERROR(H391*1,0)</f>
        <v>0</v>
      </c>
      <c r="AA391" s="1">
        <f t="shared" ref="AA391:AA454" si="56">IFERROR(P391*1,0)</f>
        <v>0</v>
      </c>
    </row>
    <row r="392" spans="2:27" x14ac:dyDescent="0.3">
      <c r="B392" s="12"/>
      <c r="J392" s="13"/>
      <c r="T392" s="1">
        <f t="shared" si="49"/>
        <v>0</v>
      </c>
      <c r="U392" s="1">
        <f t="shared" si="50"/>
        <v>0</v>
      </c>
      <c r="V392" s="1">
        <f t="shared" si="51"/>
        <v>0</v>
      </c>
      <c r="W392" s="1">
        <f t="shared" si="52"/>
        <v>0</v>
      </c>
      <c r="X392" s="1">
        <f t="shared" si="53"/>
        <v>0</v>
      </c>
      <c r="Y392" s="1">
        <f t="shared" si="54"/>
        <v>0</v>
      </c>
      <c r="Z392" s="1">
        <f t="shared" si="55"/>
        <v>0</v>
      </c>
      <c r="AA392" s="1">
        <f t="shared" si="56"/>
        <v>0</v>
      </c>
    </row>
    <row r="393" spans="2:27" x14ac:dyDescent="0.3">
      <c r="B393" s="12"/>
      <c r="J393" s="13"/>
      <c r="T393" s="1">
        <f t="shared" si="49"/>
        <v>0</v>
      </c>
      <c r="U393" s="1">
        <f t="shared" si="50"/>
        <v>0</v>
      </c>
      <c r="V393" s="1">
        <f t="shared" si="51"/>
        <v>0</v>
      </c>
      <c r="W393" s="1">
        <f t="shared" si="52"/>
        <v>0</v>
      </c>
      <c r="X393" s="1">
        <f t="shared" si="53"/>
        <v>0</v>
      </c>
      <c r="Y393" s="1">
        <f t="shared" si="54"/>
        <v>0</v>
      </c>
      <c r="Z393" s="1">
        <f t="shared" si="55"/>
        <v>0</v>
      </c>
      <c r="AA393" s="1">
        <f t="shared" si="56"/>
        <v>0</v>
      </c>
    </row>
    <row r="394" spans="2:27" x14ac:dyDescent="0.3">
      <c r="B394" s="12"/>
      <c r="J394" s="13"/>
      <c r="T394" s="1">
        <f t="shared" si="49"/>
        <v>0</v>
      </c>
      <c r="U394" s="1">
        <f t="shared" si="50"/>
        <v>0</v>
      </c>
      <c r="V394" s="1">
        <f t="shared" si="51"/>
        <v>0</v>
      </c>
      <c r="W394" s="1">
        <f t="shared" si="52"/>
        <v>0</v>
      </c>
      <c r="X394" s="1">
        <f t="shared" si="53"/>
        <v>0</v>
      </c>
      <c r="Y394" s="1">
        <f t="shared" si="54"/>
        <v>0</v>
      </c>
      <c r="Z394" s="1">
        <f t="shared" si="55"/>
        <v>0</v>
      </c>
      <c r="AA394" s="1">
        <f t="shared" si="56"/>
        <v>0</v>
      </c>
    </row>
    <row r="395" spans="2:27" x14ac:dyDescent="0.3">
      <c r="B395" s="12"/>
      <c r="J395" s="13"/>
      <c r="T395" s="1">
        <f t="shared" si="49"/>
        <v>0</v>
      </c>
      <c r="U395" s="1">
        <f t="shared" si="50"/>
        <v>0</v>
      </c>
      <c r="V395" s="1">
        <f t="shared" si="51"/>
        <v>0</v>
      </c>
      <c r="W395" s="1">
        <f t="shared" si="52"/>
        <v>0</v>
      </c>
      <c r="X395" s="1">
        <f t="shared" si="53"/>
        <v>0</v>
      </c>
      <c r="Y395" s="1">
        <f t="shared" si="54"/>
        <v>0</v>
      </c>
      <c r="Z395" s="1">
        <f t="shared" si="55"/>
        <v>0</v>
      </c>
      <c r="AA395" s="1">
        <f t="shared" si="56"/>
        <v>0</v>
      </c>
    </row>
    <row r="396" spans="2:27" x14ac:dyDescent="0.3">
      <c r="B396" s="12"/>
      <c r="J396" s="13"/>
      <c r="T396" s="1">
        <f t="shared" si="49"/>
        <v>0</v>
      </c>
      <c r="U396" s="1">
        <f t="shared" si="50"/>
        <v>0</v>
      </c>
      <c r="V396" s="1">
        <f t="shared" si="51"/>
        <v>0</v>
      </c>
      <c r="W396" s="1">
        <f t="shared" si="52"/>
        <v>0</v>
      </c>
      <c r="X396" s="1">
        <f t="shared" si="53"/>
        <v>0</v>
      </c>
      <c r="Y396" s="1">
        <f t="shared" si="54"/>
        <v>0</v>
      </c>
      <c r="Z396" s="1">
        <f t="shared" si="55"/>
        <v>0</v>
      </c>
      <c r="AA396" s="1">
        <f t="shared" si="56"/>
        <v>0</v>
      </c>
    </row>
    <row r="397" spans="2:27" x14ac:dyDescent="0.3">
      <c r="B397" s="12"/>
      <c r="J397" s="13"/>
      <c r="T397" s="1">
        <f t="shared" si="49"/>
        <v>0</v>
      </c>
      <c r="U397" s="1">
        <f t="shared" si="50"/>
        <v>0</v>
      </c>
      <c r="V397" s="1">
        <f t="shared" si="51"/>
        <v>0</v>
      </c>
      <c r="W397" s="1">
        <f t="shared" si="52"/>
        <v>0</v>
      </c>
      <c r="X397" s="1">
        <f t="shared" si="53"/>
        <v>0</v>
      </c>
      <c r="Y397" s="1">
        <f t="shared" si="54"/>
        <v>0</v>
      </c>
      <c r="Z397" s="1">
        <f t="shared" si="55"/>
        <v>0</v>
      </c>
      <c r="AA397" s="1">
        <f t="shared" si="56"/>
        <v>0</v>
      </c>
    </row>
    <row r="398" spans="2:27" x14ac:dyDescent="0.3">
      <c r="B398" s="12"/>
      <c r="J398" s="13"/>
      <c r="T398" s="1">
        <f t="shared" si="49"/>
        <v>0</v>
      </c>
      <c r="U398" s="1">
        <f t="shared" si="50"/>
        <v>0</v>
      </c>
      <c r="V398" s="1">
        <f t="shared" si="51"/>
        <v>0</v>
      </c>
      <c r="W398" s="1">
        <f t="shared" si="52"/>
        <v>0</v>
      </c>
      <c r="X398" s="1">
        <f t="shared" si="53"/>
        <v>0</v>
      </c>
      <c r="Y398" s="1">
        <f t="shared" si="54"/>
        <v>0</v>
      </c>
      <c r="Z398" s="1">
        <f t="shared" si="55"/>
        <v>0</v>
      </c>
      <c r="AA398" s="1">
        <f t="shared" si="56"/>
        <v>0</v>
      </c>
    </row>
    <row r="399" spans="2:27" x14ac:dyDescent="0.3">
      <c r="B399" s="12"/>
      <c r="J399" s="13"/>
      <c r="T399" s="1">
        <f t="shared" si="49"/>
        <v>0</v>
      </c>
      <c r="U399" s="1">
        <f t="shared" si="50"/>
        <v>0</v>
      </c>
      <c r="V399" s="1">
        <f t="shared" si="51"/>
        <v>0</v>
      </c>
      <c r="W399" s="1">
        <f t="shared" si="52"/>
        <v>0</v>
      </c>
      <c r="X399" s="1">
        <f t="shared" si="53"/>
        <v>0</v>
      </c>
      <c r="Y399" s="1">
        <f t="shared" si="54"/>
        <v>0</v>
      </c>
      <c r="Z399" s="1">
        <f t="shared" si="55"/>
        <v>0</v>
      </c>
      <c r="AA399" s="1">
        <f t="shared" si="56"/>
        <v>0</v>
      </c>
    </row>
    <row r="400" spans="2:27" x14ac:dyDescent="0.3">
      <c r="B400" s="12"/>
      <c r="J400" s="13"/>
      <c r="T400" s="1">
        <f t="shared" si="49"/>
        <v>0</v>
      </c>
      <c r="U400" s="1">
        <f t="shared" si="50"/>
        <v>0</v>
      </c>
      <c r="V400" s="1">
        <f t="shared" si="51"/>
        <v>0</v>
      </c>
      <c r="W400" s="1">
        <f t="shared" si="52"/>
        <v>0</v>
      </c>
      <c r="X400" s="1">
        <f t="shared" si="53"/>
        <v>0</v>
      </c>
      <c r="Y400" s="1">
        <f t="shared" si="54"/>
        <v>0</v>
      </c>
      <c r="Z400" s="1">
        <f t="shared" si="55"/>
        <v>0</v>
      </c>
      <c r="AA400" s="1">
        <f t="shared" si="56"/>
        <v>0</v>
      </c>
    </row>
    <row r="401" spans="2:27" x14ac:dyDescent="0.3">
      <c r="B401" s="12"/>
      <c r="J401" s="13"/>
      <c r="T401" s="1">
        <f t="shared" si="49"/>
        <v>0</v>
      </c>
      <c r="U401" s="1">
        <f t="shared" si="50"/>
        <v>0</v>
      </c>
      <c r="V401" s="1">
        <f t="shared" si="51"/>
        <v>0</v>
      </c>
      <c r="W401" s="1">
        <f t="shared" si="52"/>
        <v>0</v>
      </c>
      <c r="X401" s="1">
        <f t="shared" si="53"/>
        <v>0</v>
      </c>
      <c r="Y401" s="1">
        <f t="shared" si="54"/>
        <v>0</v>
      </c>
      <c r="Z401" s="1">
        <f t="shared" si="55"/>
        <v>0</v>
      </c>
      <c r="AA401" s="1">
        <f t="shared" si="56"/>
        <v>0</v>
      </c>
    </row>
    <row r="402" spans="2:27" x14ac:dyDescent="0.3">
      <c r="B402" s="12"/>
      <c r="J402" s="13"/>
      <c r="T402" s="1">
        <f t="shared" si="49"/>
        <v>0</v>
      </c>
      <c r="U402" s="1">
        <f t="shared" si="50"/>
        <v>0</v>
      </c>
      <c r="V402" s="1">
        <f t="shared" si="51"/>
        <v>0</v>
      </c>
      <c r="W402" s="1">
        <f t="shared" si="52"/>
        <v>0</v>
      </c>
      <c r="X402" s="1">
        <f t="shared" si="53"/>
        <v>0</v>
      </c>
      <c r="Y402" s="1">
        <f t="shared" si="54"/>
        <v>0</v>
      </c>
      <c r="Z402" s="1">
        <f t="shared" si="55"/>
        <v>0</v>
      </c>
      <c r="AA402" s="1">
        <f t="shared" si="56"/>
        <v>0</v>
      </c>
    </row>
    <row r="403" spans="2:27" x14ac:dyDescent="0.3">
      <c r="B403" s="12"/>
      <c r="J403" s="13"/>
      <c r="T403" s="1">
        <f t="shared" si="49"/>
        <v>0</v>
      </c>
      <c r="U403" s="1">
        <f t="shared" si="50"/>
        <v>0</v>
      </c>
      <c r="V403" s="1">
        <f t="shared" si="51"/>
        <v>0</v>
      </c>
      <c r="W403" s="1">
        <f t="shared" si="52"/>
        <v>0</v>
      </c>
      <c r="X403" s="1">
        <f t="shared" si="53"/>
        <v>0</v>
      </c>
      <c r="Y403" s="1">
        <f t="shared" si="54"/>
        <v>0</v>
      </c>
      <c r="Z403" s="1">
        <f t="shared" si="55"/>
        <v>0</v>
      </c>
      <c r="AA403" s="1">
        <f t="shared" si="56"/>
        <v>0</v>
      </c>
    </row>
    <row r="404" spans="2:27" x14ac:dyDescent="0.3">
      <c r="B404" s="12"/>
      <c r="J404" s="13"/>
      <c r="T404" s="1">
        <f t="shared" si="49"/>
        <v>0</v>
      </c>
      <c r="U404" s="1">
        <f t="shared" si="50"/>
        <v>0</v>
      </c>
      <c r="V404" s="1">
        <f t="shared" si="51"/>
        <v>0</v>
      </c>
      <c r="W404" s="1">
        <f t="shared" si="52"/>
        <v>0</v>
      </c>
      <c r="X404" s="1">
        <f t="shared" si="53"/>
        <v>0</v>
      </c>
      <c r="Y404" s="1">
        <f t="shared" si="54"/>
        <v>0</v>
      </c>
      <c r="Z404" s="1">
        <f t="shared" si="55"/>
        <v>0</v>
      </c>
      <c r="AA404" s="1">
        <f t="shared" si="56"/>
        <v>0</v>
      </c>
    </row>
    <row r="405" spans="2:27" x14ac:dyDescent="0.3">
      <c r="B405" s="12"/>
      <c r="J405" s="13"/>
      <c r="T405" s="1">
        <f t="shared" si="49"/>
        <v>0</v>
      </c>
      <c r="U405" s="1">
        <f t="shared" si="50"/>
        <v>0</v>
      </c>
      <c r="V405" s="1">
        <f t="shared" si="51"/>
        <v>0</v>
      </c>
      <c r="W405" s="1">
        <f t="shared" si="52"/>
        <v>0</v>
      </c>
      <c r="X405" s="1">
        <f t="shared" si="53"/>
        <v>0</v>
      </c>
      <c r="Y405" s="1">
        <f t="shared" si="54"/>
        <v>0</v>
      </c>
      <c r="Z405" s="1">
        <f t="shared" si="55"/>
        <v>0</v>
      </c>
      <c r="AA405" s="1">
        <f t="shared" si="56"/>
        <v>0</v>
      </c>
    </row>
    <row r="406" spans="2:27" x14ac:dyDescent="0.3">
      <c r="B406" s="12"/>
      <c r="J406" s="13"/>
      <c r="T406" s="1">
        <f t="shared" si="49"/>
        <v>0</v>
      </c>
      <c r="U406" s="1">
        <f t="shared" si="50"/>
        <v>0</v>
      </c>
      <c r="V406" s="1">
        <f t="shared" si="51"/>
        <v>0</v>
      </c>
      <c r="W406" s="1">
        <f t="shared" si="52"/>
        <v>0</v>
      </c>
      <c r="X406" s="1">
        <f t="shared" si="53"/>
        <v>0</v>
      </c>
      <c r="Y406" s="1">
        <f t="shared" si="54"/>
        <v>0</v>
      </c>
      <c r="Z406" s="1">
        <f t="shared" si="55"/>
        <v>0</v>
      </c>
      <c r="AA406" s="1">
        <f t="shared" si="56"/>
        <v>0</v>
      </c>
    </row>
    <row r="407" spans="2:27" x14ac:dyDescent="0.3">
      <c r="B407" s="12"/>
      <c r="J407" s="13"/>
      <c r="T407" s="1">
        <f t="shared" si="49"/>
        <v>0</v>
      </c>
      <c r="U407" s="1">
        <f t="shared" si="50"/>
        <v>0</v>
      </c>
      <c r="V407" s="1">
        <f t="shared" si="51"/>
        <v>0</v>
      </c>
      <c r="W407" s="1">
        <f t="shared" si="52"/>
        <v>0</v>
      </c>
      <c r="X407" s="1">
        <f t="shared" si="53"/>
        <v>0</v>
      </c>
      <c r="Y407" s="1">
        <f t="shared" si="54"/>
        <v>0</v>
      </c>
      <c r="Z407" s="1">
        <f t="shared" si="55"/>
        <v>0</v>
      </c>
      <c r="AA407" s="1">
        <f t="shared" si="56"/>
        <v>0</v>
      </c>
    </row>
    <row r="408" spans="2:27" x14ac:dyDescent="0.3">
      <c r="B408" s="12"/>
      <c r="J408" s="13"/>
      <c r="T408" s="1">
        <f t="shared" si="49"/>
        <v>0</v>
      </c>
      <c r="U408" s="1">
        <f t="shared" si="50"/>
        <v>0</v>
      </c>
      <c r="V408" s="1">
        <f t="shared" si="51"/>
        <v>0</v>
      </c>
      <c r="W408" s="1">
        <f t="shared" si="52"/>
        <v>0</v>
      </c>
      <c r="X408" s="1">
        <f t="shared" si="53"/>
        <v>0</v>
      </c>
      <c r="Y408" s="1">
        <f t="shared" si="54"/>
        <v>0</v>
      </c>
      <c r="Z408" s="1">
        <f t="shared" si="55"/>
        <v>0</v>
      </c>
      <c r="AA408" s="1">
        <f t="shared" si="56"/>
        <v>0</v>
      </c>
    </row>
    <row r="409" spans="2:27" x14ac:dyDescent="0.3">
      <c r="B409" s="12"/>
      <c r="J409" s="13"/>
      <c r="T409" s="1">
        <f t="shared" si="49"/>
        <v>0</v>
      </c>
      <c r="U409" s="1">
        <f t="shared" si="50"/>
        <v>0</v>
      </c>
      <c r="V409" s="1">
        <f t="shared" si="51"/>
        <v>0</v>
      </c>
      <c r="W409" s="1">
        <f t="shared" si="52"/>
        <v>0</v>
      </c>
      <c r="X409" s="1">
        <f t="shared" si="53"/>
        <v>0</v>
      </c>
      <c r="Y409" s="1">
        <f t="shared" si="54"/>
        <v>0</v>
      </c>
      <c r="Z409" s="1">
        <f t="shared" si="55"/>
        <v>0</v>
      </c>
      <c r="AA409" s="1">
        <f t="shared" si="56"/>
        <v>0</v>
      </c>
    </row>
    <row r="410" spans="2:27" x14ac:dyDescent="0.3">
      <c r="B410" s="12"/>
      <c r="J410" s="13"/>
      <c r="T410" s="1">
        <f t="shared" si="49"/>
        <v>0</v>
      </c>
      <c r="U410" s="1">
        <f t="shared" si="50"/>
        <v>0</v>
      </c>
      <c r="V410" s="1">
        <f t="shared" si="51"/>
        <v>0</v>
      </c>
      <c r="W410" s="1">
        <f t="shared" si="52"/>
        <v>0</v>
      </c>
      <c r="X410" s="1">
        <f t="shared" si="53"/>
        <v>0</v>
      </c>
      <c r="Y410" s="1">
        <f t="shared" si="54"/>
        <v>0</v>
      </c>
      <c r="Z410" s="1">
        <f t="shared" si="55"/>
        <v>0</v>
      </c>
      <c r="AA410" s="1">
        <f t="shared" si="56"/>
        <v>0</v>
      </c>
    </row>
    <row r="411" spans="2:27" x14ac:dyDescent="0.3">
      <c r="B411" s="12"/>
      <c r="J411" s="13"/>
      <c r="T411" s="1">
        <f t="shared" si="49"/>
        <v>0</v>
      </c>
      <c r="U411" s="1">
        <f t="shared" si="50"/>
        <v>0</v>
      </c>
      <c r="V411" s="1">
        <f t="shared" si="51"/>
        <v>0</v>
      </c>
      <c r="W411" s="1">
        <f t="shared" si="52"/>
        <v>0</v>
      </c>
      <c r="X411" s="1">
        <f t="shared" si="53"/>
        <v>0</v>
      </c>
      <c r="Y411" s="1">
        <f t="shared" si="54"/>
        <v>0</v>
      </c>
      <c r="Z411" s="1">
        <f t="shared" si="55"/>
        <v>0</v>
      </c>
      <c r="AA411" s="1">
        <f t="shared" si="56"/>
        <v>0</v>
      </c>
    </row>
    <row r="412" spans="2:27" x14ac:dyDescent="0.3">
      <c r="B412" s="12"/>
      <c r="J412" s="13"/>
      <c r="T412" s="1">
        <f t="shared" si="49"/>
        <v>0</v>
      </c>
      <c r="U412" s="1">
        <f t="shared" si="50"/>
        <v>0</v>
      </c>
      <c r="V412" s="1">
        <f t="shared" si="51"/>
        <v>0</v>
      </c>
      <c r="W412" s="1">
        <f t="shared" si="52"/>
        <v>0</v>
      </c>
      <c r="X412" s="1">
        <f t="shared" si="53"/>
        <v>0</v>
      </c>
      <c r="Y412" s="1">
        <f t="shared" si="54"/>
        <v>0</v>
      </c>
      <c r="Z412" s="1">
        <f t="shared" si="55"/>
        <v>0</v>
      </c>
      <c r="AA412" s="1">
        <f t="shared" si="56"/>
        <v>0</v>
      </c>
    </row>
    <row r="413" spans="2:27" x14ac:dyDescent="0.3">
      <c r="B413" s="12"/>
      <c r="J413" s="13"/>
      <c r="T413" s="1">
        <f t="shared" si="49"/>
        <v>0</v>
      </c>
      <c r="U413" s="1">
        <f t="shared" si="50"/>
        <v>0</v>
      </c>
      <c r="V413" s="1">
        <f t="shared" si="51"/>
        <v>0</v>
      </c>
      <c r="W413" s="1">
        <f t="shared" si="52"/>
        <v>0</v>
      </c>
      <c r="X413" s="1">
        <f t="shared" si="53"/>
        <v>0</v>
      </c>
      <c r="Y413" s="1">
        <f t="shared" si="54"/>
        <v>0</v>
      </c>
      <c r="Z413" s="1">
        <f t="shared" si="55"/>
        <v>0</v>
      </c>
      <c r="AA413" s="1">
        <f t="shared" si="56"/>
        <v>0</v>
      </c>
    </row>
    <row r="414" spans="2:27" x14ac:dyDescent="0.3">
      <c r="B414" s="12"/>
      <c r="J414" s="13"/>
      <c r="T414" s="1">
        <f t="shared" si="49"/>
        <v>0</v>
      </c>
      <c r="U414" s="1">
        <f t="shared" si="50"/>
        <v>0</v>
      </c>
      <c r="V414" s="1">
        <f t="shared" si="51"/>
        <v>0</v>
      </c>
      <c r="W414" s="1">
        <f t="shared" si="52"/>
        <v>0</v>
      </c>
      <c r="X414" s="1">
        <f t="shared" si="53"/>
        <v>0</v>
      </c>
      <c r="Y414" s="1">
        <f t="shared" si="54"/>
        <v>0</v>
      </c>
      <c r="Z414" s="1">
        <f t="shared" si="55"/>
        <v>0</v>
      </c>
      <c r="AA414" s="1">
        <f t="shared" si="56"/>
        <v>0</v>
      </c>
    </row>
    <row r="415" spans="2:27" x14ac:dyDescent="0.3">
      <c r="B415" s="12"/>
      <c r="J415" s="13"/>
      <c r="T415" s="1">
        <f t="shared" si="49"/>
        <v>0</v>
      </c>
      <c r="U415" s="1">
        <f t="shared" si="50"/>
        <v>0</v>
      </c>
      <c r="V415" s="1">
        <f t="shared" si="51"/>
        <v>0</v>
      </c>
      <c r="W415" s="1">
        <f t="shared" si="52"/>
        <v>0</v>
      </c>
      <c r="X415" s="1">
        <f t="shared" si="53"/>
        <v>0</v>
      </c>
      <c r="Y415" s="1">
        <f t="shared" si="54"/>
        <v>0</v>
      </c>
      <c r="Z415" s="1">
        <f t="shared" si="55"/>
        <v>0</v>
      </c>
      <c r="AA415" s="1">
        <f t="shared" si="56"/>
        <v>0</v>
      </c>
    </row>
    <row r="416" spans="2:27" x14ac:dyDescent="0.3">
      <c r="B416" s="12"/>
      <c r="J416" s="13"/>
      <c r="T416" s="1">
        <f t="shared" si="49"/>
        <v>0</v>
      </c>
      <c r="U416" s="1">
        <f t="shared" si="50"/>
        <v>0</v>
      </c>
      <c r="V416" s="1">
        <f t="shared" si="51"/>
        <v>0</v>
      </c>
      <c r="W416" s="1">
        <f t="shared" si="52"/>
        <v>0</v>
      </c>
      <c r="X416" s="1">
        <f t="shared" si="53"/>
        <v>0</v>
      </c>
      <c r="Y416" s="1">
        <f t="shared" si="54"/>
        <v>0</v>
      </c>
      <c r="Z416" s="1">
        <f t="shared" si="55"/>
        <v>0</v>
      </c>
      <c r="AA416" s="1">
        <f t="shared" si="56"/>
        <v>0</v>
      </c>
    </row>
    <row r="417" spans="2:27" x14ac:dyDescent="0.3">
      <c r="B417" s="12"/>
      <c r="J417" s="13"/>
      <c r="T417" s="1">
        <f t="shared" si="49"/>
        <v>0</v>
      </c>
      <c r="U417" s="1">
        <f t="shared" si="50"/>
        <v>0</v>
      </c>
      <c r="V417" s="1">
        <f t="shared" si="51"/>
        <v>0</v>
      </c>
      <c r="W417" s="1">
        <f t="shared" si="52"/>
        <v>0</v>
      </c>
      <c r="X417" s="1">
        <f t="shared" si="53"/>
        <v>0</v>
      </c>
      <c r="Y417" s="1">
        <f t="shared" si="54"/>
        <v>0</v>
      </c>
      <c r="Z417" s="1">
        <f t="shared" si="55"/>
        <v>0</v>
      </c>
      <c r="AA417" s="1">
        <f t="shared" si="56"/>
        <v>0</v>
      </c>
    </row>
    <row r="418" spans="2:27" x14ac:dyDescent="0.3">
      <c r="B418" s="12"/>
      <c r="J418" s="13"/>
      <c r="T418" s="1">
        <f t="shared" si="49"/>
        <v>0</v>
      </c>
      <c r="U418" s="1">
        <f t="shared" si="50"/>
        <v>0</v>
      </c>
      <c r="V418" s="1">
        <f t="shared" si="51"/>
        <v>0</v>
      </c>
      <c r="W418" s="1">
        <f t="shared" si="52"/>
        <v>0</v>
      </c>
      <c r="X418" s="1">
        <f t="shared" si="53"/>
        <v>0</v>
      </c>
      <c r="Y418" s="1">
        <f t="shared" si="54"/>
        <v>0</v>
      </c>
      <c r="Z418" s="1">
        <f t="shared" si="55"/>
        <v>0</v>
      </c>
      <c r="AA418" s="1">
        <f t="shared" si="56"/>
        <v>0</v>
      </c>
    </row>
    <row r="419" spans="2:27" x14ac:dyDescent="0.3">
      <c r="B419" s="12"/>
      <c r="J419" s="13"/>
      <c r="T419" s="1">
        <f t="shared" si="49"/>
        <v>0</v>
      </c>
      <c r="U419" s="1">
        <f t="shared" si="50"/>
        <v>0</v>
      </c>
      <c r="V419" s="1">
        <f t="shared" si="51"/>
        <v>0</v>
      </c>
      <c r="W419" s="1">
        <f t="shared" si="52"/>
        <v>0</v>
      </c>
      <c r="X419" s="1">
        <f t="shared" si="53"/>
        <v>0</v>
      </c>
      <c r="Y419" s="1">
        <f t="shared" si="54"/>
        <v>0</v>
      </c>
      <c r="Z419" s="1">
        <f t="shared" si="55"/>
        <v>0</v>
      </c>
      <c r="AA419" s="1">
        <f t="shared" si="56"/>
        <v>0</v>
      </c>
    </row>
    <row r="420" spans="2:27" x14ac:dyDescent="0.3">
      <c r="B420" s="12"/>
      <c r="J420" s="13"/>
      <c r="T420" s="1">
        <f t="shared" si="49"/>
        <v>0</v>
      </c>
      <c r="U420" s="1">
        <f t="shared" si="50"/>
        <v>0</v>
      </c>
      <c r="V420" s="1">
        <f t="shared" si="51"/>
        <v>0</v>
      </c>
      <c r="W420" s="1">
        <f t="shared" si="52"/>
        <v>0</v>
      </c>
      <c r="X420" s="1">
        <f t="shared" si="53"/>
        <v>0</v>
      </c>
      <c r="Y420" s="1">
        <f t="shared" si="54"/>
        <v>0</v>
      </c>
      <c r="Z420" s="1">
        <f t="shared" si="55"/>
        <v>0</v>
      </c>
      <c r="AA420" s="1">
        <f t="shared" si="56"/>
        <v>0</v>
      </c>
    </row>
    <row r="421" spans="2:27" x14ac:dyDescent="0.3">
      <c r="B421" s="12"/>
      <c r="J421" s="13"/>
      <c r="T421" s="1">
        <f t="shared" si="49"/>
        <v>0</v>
      </c>
      <c r="U421" s="1">
        <f t="shared" si="50"/>
        <v>0</v>
      </c>
      <c r="V421" s="1">
        <f t="shared" si="51"/>
        <v>0</v>
      </c>
      <c r="W421" s="1">
        <f t="shared" si="52"/>
        <v>0</v>
      </c>
      <c r="X421" s="1">
        <f t="shared" si="53"/>
        <v>0</v>
      </c>
      <c r="Y421" s="1">
        <f t="shared" si="54"/>
        <v>0</v>
      </c>
      <c r="Z421" s="1">
        <f t="shared" si="55"/>
        <v>0</v>
      </c>
      <c r="AA421" s="1">
        <f t="shared" si="56"/>
        <v>0</v>
      </c>
    </row>
    <row r="422" spans="2:27" x14ac:dyDescent="0.3">
      <c r="B422" s="12"/>
      <c r="J422" s="13"/>
      <c r="T422" s="1">
        <f t="shared" si="49"/>
        <v>0</v>
      </c>
      <c r="U422" s="1">
        <f t="shared" si="50"/>
        <v>0</v>
      </c>
      <c r="V422" s="1">
        <f t="shared" si="51"/>
        <v>0</v>
      </c>
      <c r="W422" s="1">
        <f t="shared" si="52"/>
        <v>0</v>
      </c>
      <c r="X422" s="1">
        <f t="shared" si="53"/>
        <v>0</v>
      </c>
      <c r="Y422" s="1">
        <f t="shared" si="54"/>
        <v>0</v>
      </c>
      <c r="Z422" s="1">
        <f t="shared" si="55"/>
        <v>0</v>
      </c>
      <c r="AA422" s="1">
        <f t="shared" si="56"/>
        <v>0</v>
      </c>
    </row>
    <row r="423" spans="2:27" x14ac:dyDescent="0.3">
      <c r="B423" s="12"/>
      <c r="J423" s="13"/>
      <c r="T423" s="1">
        <f t="shared" si="49"/>
        <v>0</v>
      </c>
      <c r="U423" s="1">
        <f t="shared" si="50"/>
        <v>0</v>
      </c>
      <c r="V423" s="1">
        <f t="shared" si="51"/>
        <v>0</v>
      </c>
      <c r="W423" s="1">
        <f t="shared" si="52"/>
        <v>0</v>
      </c>
      <c r="X423" s="1">
        <f t="shared" si="53"/>
        <v>0</v>
      </c>
      <c r="Y423" s="1">
        <f t="shared" si="54"/>
        <v>0</v>
      </c>
      <c r="Z423" s="1">
        <f t="shared" si="55"/>
        <v>0</v>
      </c>
      <c r="AA423" s="1">
        <f t="shared" si="56"/>
        <v>0</v>
      </c>
    </row>
    <row r="424" spans="2:27" x14ac:dyDescent="0.3">
      <c r="B424" s="12"/>
      <c r="J424" s="13"/>
      <c r="T424" s="1">
        <f t="shared" si="49"/>
        <v>0</v>
      </c>
      <c r="U424" s="1">
        <f t="shared" si="50"/>
        <v>0</v>
      </c>
      <c r="V424" s="1">
        <f t="shared" si="51"/>
        <v>0</v>
      </c>
      <c r="W424" s="1">
        <f t="shared" si="52"/>
        <v>0</v>
      </c>
      <c r="X424" s="1">
        <f t="shared" si="53"/>
        <v>0</v>
      </c>
      <c r="Y424" s="1">
        <f t="shared" si="54"/>
        <v>0</v>
      </c>
      <c r="Z424" s="1">
        <f t="shared" si="55"/>
        <v>0</v>
      </c>
      <c r="AA424" s="1">
        <f t="shared" si="56"/>
        <v>0</v>
      </c>
    </row>
    <row r="425" spans="2:27" x14ac:dyDescent="0.3">
      <c r="B425" s="12"/>
      <c r="J425" s="13"/>
      <c r="T425" s="1">
        <f t="shared" si="49"/>
        <v>0</v>
      </c>
      <c r="U425" s="1">
        <f t="shared" si="50"/>
        <v>0</v>
      </c>
      <c r="V425" s="1">
        <f t="shared" si="51"/>
        <v>0</v>
      </c>
      <c r="W425" s="1">
        <f t="shared" si="52"/>
        <v>0</v>
      </c>
      <c r="X425" s="1">
        <f t="shared" si="53"/>
        <v>0</v>
      </c>
      <c r="Y425" s="1">
        <f t="shared" si="54"/>
        <v>0</v>
      </c>
      <c r="Z425" s="1">
        <f t="shared" si="55"/>
        <v>0</v>
      </c>
      <c r="AA425" s="1">
        <f t="shared" si="56"/>
        <v>0</v>
      </c>
    </row>
    <row r="426" spans="2:27" x14ac:dyDescent="0.3">
      <c r="B426" s="12"/>
      <c r="J426" s="13"/>
      <c r="T426" s="1">
        <f t="shared" si="49"/>
        <v>0</v>
      </c>
      <c r="U426" s="1">
        <f t="shared" si="50"/>
        <v>0</v>
      </c>
      <c r="V426" s="1">
        <f t="shared" si="51"/>
        <v>0</v>
      </c>
      <c r="W426" s="1">
        <f t="shared" si="52"/>
        <v>0</v>
      </c>
      <c r="X426" s="1">
        <f t="shared" si="53"/>
        <v>0</v>
      </c>
      <c r="Y426" s="1">
        <f t="shared" si="54"/>
        <v>0</v>
      </c>
      <c r="Z426" s="1">
        <f t="shared" si="55"/>
        <v>0</v>
      </c>
      <c r="AA426" s="1">
        <f t="shared" si="56"/>
        <v>0</v>
      </c>
    </row>
    <row r="427" spans="2:27" x14ac:dyDescent="0.3">
      <c r="B427" s="12"/>
      <c r="J427" s="13"/>
      <c r="T427" s="1">
        <f t="shared" si="49"/>
        <v>0</v>
      </c>
      <c r="U427" s="1">
        <f t="shared" si="50"/>
        <v>0</v>
      </c>
      <c r="V427" s="1">
        <f t="shared" si="51"/>
        <v>0</v>
      </c>
      <c r="W427" s="1">
        <f t="shared" si="52"/>
        <v>0</v>
      </c>
      <c r="X427" s="1">
        <f t="shared" si="53"/>
        <v>0</v>
      </c>
      <c r="Y427" s="1">
        <f t="shared" si="54"/>
        <v>0</v>
      </c>
      <c r="Z427" s="1">
        <f t="shared" si="55"/>
        <v>0</v>
      </c>
      <c r="AA427" s="1">
        <f t="shared" si="56"/>
        <v>0</v>
      </c>
    </row>
    <row r="428" spans="2:27" x14ac:dyDescent="0.3">
      <c r="B428" s="12"/>
      <c r="J428" s="13"/>
      <c r="T428" s="1">
        <f t="shared" si="49"/>
        <v>0</v>
      </c>
      <c r="U428" s="1">
        <f t="shared" si="50"/>
        <v>0</v>
      </c>
      <c r="V428" s="1">
        <f t="shared" si="51"/>
        <v>0</v>
      </c>
      <c r="W428" s="1">
        <f t="shared" si="52"/>
        <v>0</v>
      </c>
      <c r="X428" s="1">
        <f t="shared" si="53"/>
        <v>0</v>
      </c>
      <c r="Y428" s="1">
        <f t="shared" si="54"/>
        <v>0</v>
      </c>
      <c r="Z428" s="1">
        <f t="shared" si="55"/>
        <v>0</v>
      </c>
      <c r="AA428" s="1">
        <f t="shared" si="56"/>
        <v>0</v>
      </c>
    </row>
    <row r="429" spans="2:27" x14ac:dyDescent="0.3">
      <c r="B429" s="12"/>
      <c r="J429" s="13"/>
      <c r="T429" s="1">
        <f t="shared" si="49"/>
        <v>0</v>
      </c>
      <c r="U429" s="1">
        <f t="shared" si="50"/>
        <v>0</v>
      </c>
      <c r="V429" s="1">
        <f t="shared" si="51"/>
        <v>0</v>
      </c>
      <c r="W429" s="1">
        <f t="shared" si="52"/>
        <v>0</v>
      </c>
      <c r="X429" s="1">
        <f t="shared" si="53"/>
        <v>0</v>
      </c>
      <c r="Y429" s="1">
        <f t="shared" si="54"/>
        <v>0</v>
      </c>
      <c r="Z429" s="1">
        <f t="shared" si="55"/>
        <v>0</v>
      </c>
      <c r="AA429" s="1">
        <f t="shared" si="56"/>
        <v>0</v>
      </c>
    </row>
    <row r="430" spans="2:27" x14ac:dyDescent="0.3">
      <c r="B430" s="12"/>
      <c r="J430" s="13"/>
      <c r="T430" s="1">
        <f t="shared" si="49"/>
        <v>0</v>
      </c>
      <c r="U430" s="1">
        <f t="shared" si="50"/>
        <v>0</v>
      </c>
      <c r="V430" s="1">
        <f t="shared" si="51"/>
        <v>0</v>
      </c>
      <c r="W430" s="1">
        <f t="shared" si="52"/>
        <v>0</v>
      </c>
      <c r="X430" s="1">
        <f t="shared" si="53"/>
        <v>0</v>
      </c>
      <c r="Y430" s="1">
        <f t="shared" si="54"/>
        <v>0</v>
      </c>
      <c r="Z430" s="1">
        <f t="shared" si="55"/>
        <v>0</v>
      </c>
      <c r="AA430" s="1">
        <f t="shared" si="56"/>
        <v>0</v>
      </c>
    </row>
    <row r="431" spans="2:27" x14ac:dyDescent="0.3">
      <c r="B431" s="12"/>
      <c r="J431" s="13"/>
      <c r="T431" s="1">
        <f t="shared" si="49"/>
        <v>0</v>
      </c>
      <c r="U431" s="1">
        <f t="shared" si="50"/>
        <v>0</v>
      </c>
      <c r="V431" s="1">
        <f t="shared" si="51"/>
        <v>0</v>
      </c>
      <c r="W431" s="1">
        <f t="shared" si="52"/>
        <v>0</v>
      </c>
      <c r="X431" s="1">
        <f t="shared" si="53"/>
        <v>0</v>
      </c>
      <c r="Y431" s="1">
        <f t="shared" si="54"/>
        <v>0</v>
      </c>
      <c r="Z431" s="1">
        <f t="shared" si="55"/>
        <v>0</v>
      </c>
      <c r="AA431" s="1">
        <f t="shared" si="56"/>
        <v>0</v>
      </c>
    </row>
    <row r="432" spans="2:27" x14ac:dyDescent="0.3">
      <c r="B432" s="12"/>
      <c r="J432" s="13"/>
      <c r="T432" s="1">
        <f t="shared" si="49"/>
        <v>0</v>
      </c>
      <c r="U432" s="1">
        <f t="shared" si="50"/>
        <v>0</v>
      </c>
      <c r="V432" s="1">
        <f t="shared" si="51"/>
        <v>0</v>
      </c>
      <c r="W432" s="1">
        <f t="shared" si="52"/>
        <v>0</v>
      </c>
      <c r="X432" s="1">
        <f t="shared" si="53"/>
        <v>0</v>
      </c>
      <c r="Y432" s="1">
        <f t="shared" si="54"/>
        <v>0</v>
      </c>
      <c r="Z432" s="1">
        <f t="shared" si="55"/>
        <v>0</v>
      </c>
      <c r="AA432" s="1">
        <f t="shared" si="56"/>
        <v>0</v>
      </c>
    </row>
    <row r="433" spans="2:27" x14ac:dyDescent="0.3">
      <c r="B433" s="12"/>
      <c r="J433" s="13"/>
      <c r="T433" s="1">
        <f t="shared" si="49"/>
        <v>0</v>
      </c>
      <c r="U433" s="1">
        <f t="shared" si="50"/>
        <v>0</v>
      </c>
      <c r="V433" s="1">
        <f t="shared" si="51"/>
        <v>0</v>
      </c>
      <c r="W433" s="1">
        <f t="shared" si="52"/>
        <v>0</v>
      </c>
      <c r="X433" s="1">
        <f t="shared" si="53"/>
        <v>0</v>
      </c>
      <c r="Y433" s="1">
        <f t="shared" si="54"/>
        <v>0</v>
      </c>
      <c r="Z433" s="1">
        <f t="shared" si="55"/>
        <v>0</v>
      </c>
      <c r="AA433" s="1">
        <f t="shared" si="56"/>
        <v>0</v>
      </c>
    </row>
    <row r="434" spans="2:27" x14ac:dyDescent="0.3">
      <c r="B434" s="12"/>
      <c r="J434" s="13"/>
      <c r="T434" s="1">
        <f t="shared" si="49"/>
        <v>0</v>
      </c>
      <c r="U434" s="1">
        <f t="shared" si="50"/>
        <v>0</v>
      </c>
      <c r="V434" s="1">
        <f t="shared" si="51"/>
        <v>0</v>
      </c>
      <c r="W434" s="1">
        <f t="shared" si="52"/>
        <v>0</v>
      </c>
      <c r="X434" s="1">
        <f t="shared" si="53"/>
        <v>0</v>
      </c>
      <c r="Y434" s="1">
        <f t="shared" si="54"/>
        <v>0</v>
      </c>
      <c r="Z434" s="1">
        <f t="shared" si="55"/>
        <v>0</v>
      </c>
      <c r="AA434" s="1">
        <f t="shared" si="56"/>
        <v>0</v>
      </c>
    </row>
    <row r="435" spans="2:27" x14ac:dyDescent="0.3">
      <c r="B435" s="12"/>
      <c r="J435" s="13"/>
      <c r="T435" s="1">
        <f t="shared" si="49"/>
        <v>0</v>
      </c>
      <c r="U435" s="1">
        <f t="shared" si="50"/>
        <v>0</v>
      </c>
      <c r="V435" s="1">
        <f t="shared" si="51"/>
        <v>0</v>
      </c>
      <c r="W435" s="1">
        <f t="shared" si="52"/>
        <v>0</v>
      </c>
      <c r="X435" s="1">
        <f t="shared" si="53"/>
        <v>0</v>
      </c>
      <c r="Y435" s="1">
        <f t="shared" si="54"/>
        <v>0</v>
      </c>
      <c r="Z435" s="1">
        <f t="shared" si="55"/>
        <v>0</v>
      </c>
      <c r="AA435" s="1">
        <f t="shared" si="56"/>
        <v>0</v>
      </c>
    </row>
    <row r="436" spans="2:27" x14ac:dyDescent="0.3">
      <c r="B436" s="12"/>
      <c r="J436" s="13"/>
      <c r="T436" s="1">
        <f t="shared" si="49"/>
        <v>0</v>
      </c>
      <c r="U436" s="1">
        <f t="shared" si="50"/>
        <v>0</v>
      </c>
      <c r="V436" s="1">
        <f t="shared" si="51"/>
        <v>0</v>
      </c>
      <c r="W436" s="1">
        <f t="shared" si="52"/>
        <v>0</v>
      </c>
      <c r="X436" s="1">
        <f t="shared" si="53"/>
        <v>0</v>
      </c>
      <c r="Y436" s="1">
        <f t="shared" si="54"/>
        <v>0</v>
      </c>
      <c r="Z436" s="1">
        <f t="shared" si="55"/>
        <v>0</v>
      </c>
      <c r="AA436" s="1">
        <f t="shared" si="56"/>
        <v>0</v>
      </c>
    </row>
    <row r="437" spans="2:27" x14ac:dyDescent="0.3">
      <c r="B437" s="12"/>
      <c r="J437" s="13"/>
      <c r="T437" s="1">
        <f t="shared" si="49"/>
        <v>0</v>
      </c>
      <c r="U437" s="1">
        <f t="shared" si="50"/>
        <v>0</v>
      </c>
      <c r="V437" s="1">
        <f t="shared" si="51"/>
        <v>0</v>
      </c>
      <c r="W437" s="1">
        <f t="shared" si="52"/>
        <v>0</v>
      </c>
      <c r="X437" s="1">
        <f t="shared" si="53"/>
        <v>0</v>
      </c>
      <c r="Y437" s="1">
        <f t="shared" si="54"/>
        <v>0</v>
      </c>
      <c r="Z437" s="1">
        <f t="shared" si="55"/>
        <v>0</v>
      </c>
      <c r="AA437" s="1">
        <f t="shared" si="56"/>
        <v>0</v>
      </c>
    </row>
    <row r="438" spans="2:27" x14ac:dyDescent="0.3">
      <c r="B438" s="12"/>
      <c r="J438" s="13"/>
      <c r="T438" s="1">
        <f t="shared" si="49"/>
        <v>0</v>
      </c>
      <c r="U438" s="1">
        <f t="shared" si="50"/>
        <v>0</v>
      </c>
      <c r="V438" s="1">
        <f t="shared" si="51"/>
        <v>0</v>
      </c>
      <c r="W438" s="1">
        <f t="shared" si="52"/>
        <v>0</v>
      </c>
      <c r="X438" s="1">
        <f t="shared" si="53"/>
        <v>0</v>
      </c>
      <c r="Y438" s="1">
        <f t="shared" si="54"/>
        <v>0</v>
      </c>
      <c r="Z438" s="1">
        <f t="shared" si="55"/>
        <v>0</v>
      </c>
      <c r="AA438" s="1">
        <f t="shared" si="56"/>
        <v>0</v>
      </c>
    </row>
    <row r="439" spans="2:27" x14ac:dyDescent="0.3">
      <c r="B439" s="12"/>
      <c r="J439" s="13"/>
      <c r="T439" s="1">
        <f t="shared" si="49"/>
        <v>0</v>
      </c>
      <c r="U439" s="1">
        <f t="shared" si="50"/>
        <v>0</v>
      </c>
      <c r="V439" s="1">
        <f t="shared" si="51"/>
        <v>0</v>
      </c>
      <c r="W439" s="1">
        <f t="shared" si="52"/>
        <v>0</v>
      </c>
      <c r="X439" s="1">
        <f t="shared" si="53"/>
        <v>0</v>
      </c>
      <c r="Y439" s="1">
        <f t="shared" si="54"/>
        <v>0</v>
      </c>
      <c r="Z439" s="1">
        <f t="shared" si="55"/>
        <v>0</v>
      </c>
      <c r="AA439" s="1">
        <f t="shared" si="56"/>
        <v>0</v>
      </c>
    </row>
    <row r="440" spans="2:27" x14ac:dyDescent="0.3">
      <c r="B440" s="12"/>
      <c r="J440" s="13"/>
      <c r="T440" s="1">
        <f t="shared" si="49"/>
        <v>0</v>
      </c>
      <c r="U440" s="1">
        <f t="shared" si="50"/>
        <v>0</v>
      </c>
      <c r="V440" s="1">
        <f t="shared" si="51"/>
        <v>0</v>
      </c>
      <c r="W440" s="1">
        <f t="shared" si="52"/>
        <v>0</v>
      </c>
      <c r="X440" s="1">
        <f t="shared" si="53"/>
        <v>0</v>
      </c>
      <c r="Y440" s="1">
        <f t="shared" si="54"/>
        <v>0</v>
      </c>
      <c r="Z440" s="1">
        <f t="shared" si="55"/>
        <v>0</v>
      </c>
      <c r="AA440" s="1">
        <f t="shared" si="56"/>
        <v>0</v>
      </c>
    </row>
    <row r="441" spans="2:27" x14ac:dyDescent="0.3">
      <c r="B441" s="12"/>
      <c r="J441" s="13"/>
      <c r="T441" s="1">
        <f t="shared" si="49"/>
        <v>0</v>
      </c>
      <c r="U441" s="1">
        <f t="shared" si="50"/>
        <v>0</v>
      </c>
      <c r="V441" s="1">
        <f t="shared" si="51"/>
        <v>0</v>
      </c>
      <c r="W441" s="1">
        <f t="shared" si="52"/>
        <v>0</v>
      </c>
      <c r="X441" s="1">
        <f t="shared" si="53"/>
        <v>0</v>
      </c>
      <c r="Y441" s="1">
        <f t="shared" si="54"/>
        <v>0</v>
      </c>
      <c r="Z441" s="1">
        <f t="shared" si="55"/>
        <v>0</v>
      </c>
      <c r="AA441" s="1">
        <f t="shared" si="56"/>
        <v>0</v>
      </c>
    </row>
    <row r="442" spans="2:27" x14ac:dyDescent="0.3">
      <c r="B442" s="12"/>
      <c r="J442" s="13"/>
      <c r="T442" s="1">
        <f t="shared" si="49"/>
        <v>0</v>
      </c>
      <c r="U442" s="1">
        <f t="shared" si="50"/>
        <v>0</v>
      </c>
      <c r="V442" s="1">
        <f t="shared" si="51"/>
        <v>0</v>
      </c>
      <c r="W442" s="1">
        <f t="shared" si="52"/>
        <v>0</v>
      </c>
      <c r="X442" s="1">
        <f t="shared" si="53"/>
        <v>0</v>
      </c>
      <c r="Y442" s="1">
        <f t="shared" si="54"/>
        <v>0</v>
      </c>
      <c r="Z442" s="1">
        <f t="shared" si="55"/>
        <v>0</v>
      </c>
      <c r="AA442" s="1">
        <f t="shared" si="56"/>
        <v>0</v>
      </c>
    </row>
    <row r="443" spans="2:27" x14ac:dyDescent="0.3">
      <c r="B443" s="12"/>
      <c r="J443" s="13"/>
      <c r="T443" s="1">
        <f t="shared" si="49"/>
        <v>0</v>
      </c>
      <c r="U443" s="1">
        <f t="shared" si="50"/>
        <v>0</v>
      </c>
      <c r="V443" s="1">
        <f t="shared" si="51"/>
        <v>0</v>
      </c>
      <c r="W443" s="1">
        <f t="shared" si="52"/>
        <v>0</v>
      </c>
      <c r="X443" s="1">
        <f t="shared" si="53"/>
        <v>0</v>
      </c>
      <c r="Y443" s="1">
        <f t="shared" si="54"/>
        <v>0</v>
      </c>
      <c r="Z443" s="1">
        <f t="shared" si="55"/>
        <v>0</v>
      </c>
      <c r="AA443" s="1">
        <f t="shared" si="56"/>
        <v>0</v>
      </c>
    </row>
    <row r="444" spans="2:27" x14ac:dyDescent="0.3">
      <c r="B444" s="12"/>
      <c r="J444" s="13"/>
      <c r="T444" s="1">
        <f t="shared" si="49"/>
        <v>0</v>
      </c>
      <c r="U444" s="1">
        <f t="shared" si="50"/>
        <v>0</v>
      </c>
      <c r="V444" s="1">
        <f t="shared" si="51"/>
        <v>0</v>
      </c>
      <c r="W444" s="1">
        <f t="shared" si="52"/>
        <v>0</v>
      </c>
      <c r="X444" s="1">
        <f t="shared" si="53"/>
        <v>0</v>
      </c>
      <c r="Y444" s="1">
        <f t="shared" si="54"/>
        <v>0</v>
      </c>
      <c r="Z444" s="1">
        <f t="shared" si="55"/>
        <v>0</v>
      </c>
      <c r="AA444" s="1">
        <f t="shared" si="56"/>
        <v>0</v>
      </c>
    </row>
    <row r="445" spans="2:27" x14ac:dyDescent="0.3">
      <c r="B445" s="12"/>
      <c r="J445" s="13"/>
      <c r="T445" s="1">
        <f t="shared" si="49"/>
        <v>0</v>
      </c>
      <c r="U445" s="1">
        <f t="shared" si="50"/>
        <v>0</v>
      </c>
      <c r="V445" s="1">
        <f t="shared" si="51"/>
        <v>0</v>
      </c>
      <c r="W445" s="1">
        <f t="shared" si="52"/>
        <v>0</v>
      </c>
      <c r="X445" s="1">
        <f t="shared" si="53"/>
        <v>0</v>
      </c>
      <c r="Y445" s="1">
        <f t="shared" si="54"/>
        <v>0</v>
      </c>
      <c r="Z445" s="1">
        <f t="shared" si="55"/>
        <v>0</v>
      </c>
      <c r="AA445" s="1">
        <f t="shared" si="56"/>
        <v>0</v>
      </c>
    </row>
    <row r="446" spans="2:27" x14ac:dyDescent="0.3">
      <c r="B446" s="12"/>
      <c r="J446" s="13"/>
      <c r="T446" s="1">
        <f t="shared" si="49"/>
        <v>0</v>
      </c>
      <c r="U446" s="1">
        <f t="shared" si="50"/>
        <v>0</v>
      </c>
      <c r="V446" s="1">
        <f t="shared" si="51"/>
        <v>0</v>
      </c>
      <c r="W446" s="1">
        <f t="shared" si="52"/>
        <v>0</v>
      </c>
      <c r="X446" s="1">
        <f t="shared" si="53"/>
        <v>0</v>
      </c>
      <c r="Y446" s="1">
        <f t="shared" si="54"/>
        <v>0</v>
      </c>
      <c r="Z446" s="1">
        <f t="shared" si="55"/>
        <v>0</v>
      </c>
      <c r="AA446" s="1">
        <f t="shared" si="56"/>
        <v>0</v>
      </c>
    </row>
    <row r="447" spans="2:27" x14ac:dyDescent="0.3">
      <c r="B447" s="12"/>
      <c r="I447" s="14"/>
      <c r="J447" s="13"/>
      <c r="T447" s="1">
        <f t="shared" si="49"/>
        <v>0</v>
      </c>
      <c r="U447" s="1">
        <f t="shared" si="50"/>
        <v>0</v>
      </c>
      <c r="V447" s="1">
        <f t="shared" si="51"/>
        <v>0</v>
      </c>
      <c r="W447" s="1">
        <f t="shared" si="52"/>
        <v>0</v>
      </c>
      <c r="X447" s="1">
        <f t="shared" si="53"/>
        <v>0</v>
      </c>
      <c r="Y447" s="1">
        <f t="shared" si="54"/>
        <v>0</v>
      </c>
      <c r="Z447" s="1">
        <f t="shared" si="55"/>
        <v>0</v>
      </c>
      <c r="AA447" s="1">
        <f t="shared" si="56"/>
        <v>0</v>
      </c>
    </row>
    <row r="448" spans="2:27" x14ac:dyDescent="0.3">
      <c r="B448" s="12"/>
      <c r="I448" s="14"/>
      <c r="J448" s="13"/>
      <c r="T448" s="1">
        <f t="shared" si="49"/>
        <v>0</v>
      </c>
      <c r="U448" s="1">
        <f t="shared" si="50"/>
        <v>0</v>
      </c>
      <c r="V448" s="1">
        <f t="shared" si="51"/>
        <v>0</v>
      </c>
      <c r="W448" s="1">
        <f t="shared" si="52"/>
        <v>0</v>
      </c>
      <c r="X448" s="1">
        <f t="shared" si="53"/>
        <v>0</v>
      </c>
      <c r="Y448" s="1">
        <f t="shared" si="54"/>
        <v>0</v>
      </c>
      <c r="Z448" s="1">
        <f t="shared" si="55"/>
        <v>0</v>
      </c>
      <c r="AA448" s="1">
        <f t="shared" si="56"/>
        <v>0</v>
      </c>
    </row>
    <row r="449" spans="2:27" x14ac:dyDescent="0.3">
      <c r="B449" s="12"/>
      <c r="I449" s="14"/>
      <c r="J449" s="13"/>
      <c r="T449" s="1">
        <f t="shared" si="49"/>
        <v>0</v>
      </c>
      <c r="U449" s="1">
        <f t="shared" si="50"/>
        <v>0</v>
      </c>
      <c r="V449" s="1">
        <f t="shared" si="51"/>
        <v>0</v>
      </c>
      <c r="W449" s="1">
        <f t="shared" si="52"/>
        <v>0</v>
      </c>
      <c r="X449" s="1">
        <f t="shared" si="53"/>
        <v>0</v>
      </c>
      <c r="Y449" s="1">
        <f t="shared" si="54"/>
        <v>0</v>
      </c>
      <c r="Z449" s="1">
        <f t="shared" si="55"/>
        <v>0</v>
      </c>
      <c r="AA449" s="1">
        <f t="shared" si="56"/>
        <v>0</v>
      </c>
    </row>
    <row r="450" spans="2:27" x14ac:dyDescent="0.3">
      <c r="B450" s="12"/>
      <c r="I450" s="14"/>
      <c r="J450" s="13"/>
      <c r="T450" s="1">
        <f t="shared" si="49"/>
        <v>0</v>
      </c>
      <c r="U450" s="1">
        <f t="shared" si="50"/>
        <v>0</v>
      </c>
      <c r="V450" s="1">
        <f t="shared" si="51"/>
        <v>0</v>
      </c>
      <c r="W450" s="1">
        <f t="shared" si="52"/>
        <v>0</v>
      </c>
      <c r="X450" s="1">
        <f t="shared" si="53"/>
        <v>0</v>
      </c>
      <c r="Y450" s="1">
        <f t="shared" si="54"/>
        <v>0</v>
      </c>
      <c r="Z450" s="1">
        <f t="shared" si="55"/>
        <v>0</v>
      </c>
      <c r="AA450" s="1">
        <f t="shared" si="56"/>
        <v>0</v>
      </c>
    </row>
    <row r="451" spans="2:27" x14ac:dyDescent="0.3">
      <c r="B451" s="12"/>
      <c r="I451" s="14"/>
      <c r="J451" s="13"/>
      <c r="T451" s="1">
        <f t="shared" si="49"/>
        <v>0</v>
      </c>
      <c r="U451" s="1">
        <f t="shared" si="50"/>
        <v>0</v>
      </c>
      <c r="V451" s="1">
        <f t="shared" si="51"/>
        <v>0</v>
      </c>
      <c r="W451" s="1">
        <f t="shared" si="52"/>
        <v>0</v>
      </c>
      <c r="X451" s="1">
        <f t="shared" si="53"/>
        <v>0</v>
      </c>
      <c r="Y451" s="1">
        <f t="shared" si="54"/>
        <v>0</v>
      </c>
      <c r="Z451" s="1">
        <f t="shared" si="55"/>
        <v>0</v>
      </c>
      <c r="AA451" s="1">
        <f t="shared" si="56"/>
        <v>0</v>
      </c>
    </row>
    <row r="452" spans="2:27" x14ac:dyDescent="0.3">
      <c r="B452" s="12"/>
      <c r="I452" s="14"/>
      <c r="J452" s="13"/>
      <c r="T452" s="1">
        <f t="shared" si="49"/>
        <v>0</v>
      </c>
      <c r="U452" s="1">
        <f t="shared" si="50"/>
        <v>0</v>
      </c>
      <c r="V452" s="1">
        <f t="shared" si="51"/>
        <v>0</v>
      </c>
      <c r="W452" s="1">
        <f t="shared" si="52"/>
        <v>0</v>
      </c>
      <c r="X452" s="1">
        <f t="shared" si="53"/>
        <v>0</v>
      </c>
      <c r="Y452" s="1">
        <f t="shared" si="54"/>
        <v>0</v>
      </c>
      <c r="Z452" s="1">
        <f t="shared" si="55"/>
        <v>0</v>
      </c>
      <c r="AA452" s="1">
        <f t="shared" si="56"/>
        <v>0</v>
      </c>
    </row>
    <row r="453" spans="2:27" x14ac:dyDescent="0.3">
      <c r="B453" s="12"/>
      <c r="I453" s="14"/>
      <c r="J453" s="13"/>
      <c r="T453" s="1">
        <f t="shared" si="49"/>
        <v>0</v>
      </c>
      <c r="U453" s="1">
        <f t="shared" si="50"/>
        <v>0</v>
      </c>
      <c r="V453" s="1">
        <f t="shared" si="51"/>
        <v>0</v>
      </c>
      <c r="W453" s="1">
        <f t="shared" si="52"/>
        <v>0</v>
      </c>
      <c r="X453" s="1">
        <f t="shared" si="53"/>
        <v>0</v>
      </c>
      <c r="Y453" s="1">
        <f t="shared" si="54"/>
        <v>0</v>
      </c>
      <c r="Z453" s="1">
        <f t="shared" si="55"/>
        <v>0</v>
      </c>
      <c r="AA453" s="1">
        <f t="shared" si="56"/>
        <v>0</v>
      </c>
    </row>
    <row r="454" spans="2:27" x14ac:dyDescent="0.3">
      <c r="B454" s="12"/>
      <c r="I454" s="14"/>
      <c r="J454" s="13"/>
      <c r="T454" s="1">
        <f t="shared" si="49"/>
        <v>0</v>
      </c>
      <c r="U454" s="1">
        <f t="shared" si="50"/>
        <v>0</v>
      </c>
      <c r="V454" s="1">
        <f t="shared" si="51"/>
        <v>0</v>
      </c>
      <c r="W454" s="1">
        <f t="shared" si="52"/>
        <v>0</v>
      </c>
      <c r="X454" s="1">
        <f t="shared" si="53"/>
        <v>0</v>
      </c>
      <c r="Y454" s="1">
        <f t="shared" si="54"/>
        <v>0</v>
      </c>
      <c r="Z454" s="1">
        <f t="shared" si="55"/>
        <v>0</v>
      </c>
      <c r="AA454" s="1">
        <f t="shared" si="56"/>
        <v>0</v>
      </c>
    </row>
    <row r="455" spans="2:27" x14ac:dyDescent="0.3">
      <c r="B455" s="12"/>
      <c r="I455" s="14"/>
      <c r="J455" s="13"/>
      <c r="T455" s="1">
        <f t="shared" ref="T455:T518" si="57">IF(AND(G455="-"),0,G455*F455)</f>
        <v>0</v>
      </c>
      <c r="U455" s="1">
        <f t="shared" ref="U455:U518" si="58">IF(AND(O455="-"),0,O455*N455)</f>
        <v>0</v>
      </c>
      <c r="V455" s="1">
        <f t="shared" ref="V455:V518" si="59">IFERROR(C455*H455,0)</f>
        <v>0</v>
      </c>
      <c r="W455" s="1">
        <f t="shared" ref="W455:W518" si="60">IFERROR(K455*P455,0)</f>
        <v>0</v>
      </c>
      <c r="X455" s="1">
        <f t="shared" ref="X455:X518" si="61">IFERROR(G455*1,0)</f>
        <v>0</v>
      </c>
      <c r="Y455" s="1">
        <f t="shared" ref="Y455:Y518" si="62">IFERROR(O455*1,0)</f>
        <v>0</v>
      </c>
      <c r="Z455" s="1">
        <f t="shared" ref="Z455:Z518" si="63">IFERROR(H455*1,0)</f>
        <v>0</v>
      </c>
      <c r="AA455" s="1">
        <f t="shared" ref="AA455:AA518" si="64">IFERROR(P455*1,0)</f>
        <v>0</v>
      </c>
    </row>
    <row r="456" spans="2:27" x14ac:dyDescent="0.3">
      <c r="B456" s="12"/>
      <c r="I456" s="14"/>
      <c r="J456" s="13"/>
      <c r="T456" s="1">
        <f t="shared" si="57"/>
        <v>0</v>
      </c>
      <c r="U456" s="1">
        <f t="shared" si="58"/>
        <v>0</v>
      </c>
      <c r="V456" s="1">
        <f t="shared" si="59"/>
        <v>0</v>
      </c>
      <c r="W456" s="1">
        <f t="shared" si="60"/>
        <v>0</v>
      </c>
      <c r="X456" s="1">
        <f t="shared" si="61"/>
        <v>0</v>
      </c>
      <c r="Y456" s="1">
        <f t="shared" si="62"/>
        <v>0</v>
      </c>
      <c r="Z456" s="1">
        <f t="shared" si="63"/>
        <v>0</v>
      </c>
      <c r="AA456" s="1">
        <f t="shared" si="64"/>
        <v>0</v>
      </c>
    </row>
    <row r="457" spans="2:27" x14ac:dyDescent="0.3">
      <c r="B457" s="12"/>
      <c r="I457" s="14"/>
      <c r="J457" s="13"/>
      <c r="T457" s="1">
        <f t="shared" si="57"/>
        <v>0</v>
      </c>
      <c r="U457" s="1">
        <f t="shared" si="58"/>
        <v>0</v>
      </c>
      <c r="V457" s="1">
        <f t="shared" si="59"/>
        <v>0</v>
      </c>
      <c r="W457" s="1">
        <f t="shared" si="60"/>
        <v>0</v>
      </c>
      <c r="X457" s="1">
        <f t="shared" si="61"/>
        <v>0</v>
      </c>
      <c r="Y457" s="1">
        <f t="shared" si="62"/>
        <v>0</v>
      </c>
      <c r="Z457" s="1">
        <f t="shared" si="63"/>
        <v>0</v>
      </c>
      <c r="AA457" s="1">
        <f t="shared" si="64"/>
        <v>0</v>
      </c>
    </row>
    <row r="458" spans="2:27" x14ac:dyDescent="0.3">
      <c r="B458" s="12"/>
      <c r="I458" s="14"/>
      <c r="J458" s="13"/>
      <c r="T458" s="1">
        <f t="shared" si="57"/>
        <v>0</v>
      </c>
      <c r="U458" s="1">
        <f t="shared" si="58"/>
        <v>0</v>
      </c>
      <c r="V458" s="1">
        <f t="shared" si="59"/>
        <v>0</v>
      </c>
      <c r="W458" s="1">
        <f t="shared" si="60"/>
        <v>0</v>
      </c>
      <c r="X458" s="1">
        <f t="shared" si="61"/>
        <v>0</v>
      </c>
      <c r="Y458" s="1">
        <f t="shared" si="62"/>
        <v>0</v>
      </c>
      <c r="Z458" s="1">
        <f t="shared" si="63"/>
        <v>0</v>
      </c>
      <c r="AA458" s="1">
        <f t="shared" si="64"/>
        <v>0</v>
      </c>
    </row>
    <row r="459" spans="2:27" x14ac:dyDescent="0.3">
      <c r="B459" s="12"/>
      <c r="I459" s="14"/>
      <c r="J459" s="13"/>
      <c r="T459" s="1">
        <f t="shared" si="57"/>
        <v>0</v>
      </c>
      <c r="U459" s="1">
        <f t="shared" si="58"/>
        <v>0</v>
      </c>
      <c r="V459" s="1">
        <f t="shared" si="59"/>
        <v>0</v>
      </c>
      <c r="W459" s="1">
        <f t="shared" si="60"/>
        <v>0</v>
      </c>
      <c r="X459" s="1">
        <f t="shared" si="61"/>
        <v>0</v>
      </c>
      <c r="Y459" s="1">
        <f t="shared" si="62"/>
        <v>0</v>
      </c>
      <c r="Z459" s="1">
        <f t="shared" si="63"/>
        <v>0</v>
      </c>
      <c r="AA459" s="1">
        <f t="shared" si="64"/>
        <v>0</v>
      </c>
    </row>
    <row r="460" spans="2:27" x14ac:dyDescent="0.3">
      <c r="B460" s="12"/>
      <c r="I460" s="14"/>
      <c r="J460" s="13"/>
      <c r="T460" s="1">
        <f t="shared" si="57"/>
        <v>0</v>
      </c>
      <c r="U460" s="1">
        <f t="shared" si="58"/>
        <v>0</v>
      </c>
      <c r="V460" s="1">
        <f t="shared" si="59"/>
        <v>0</v>
      </c>
      <c r="W460" s="1">
        <f t="shared" si="60"/>
        <v>0</v>
      </c>
      <c r="X460" s="1">
        <f t="shared" si="61"/>
        <v>0</v>
      </c>
      <c r="Y460" s="1">
        <f t="shared" si="62"/>
        <v>0</v>
      </c>
      <c r="Z460" s="1">
        <f t="shared" si="63"/>
        <v>0</v>
      </c>
      <c r="AA460" s="1">
        <f t="shared" si="64"/>
        <v>0</v>
      </c>
    </row>
    <row r="461" spans="2:27" x14ac:dyDescent="0.3">
      <c r="B461" s="12"/>
      <c r="I461" s="14"/>
      <c r="J461" s="13"/>
      <c r="T461" s="1">
        <f t="shared" si="57"/>
        <v>0</v>
      </c>
      <c r="U461" s="1">
        <f t="shared" si="58"/>
        <v>0</v>
      </c>
      <c r="V461" s="1">
        <f t="shared" si="59"/>
        <v>0</v>
      </c>
      <c r="W461" s="1">
        <f t="shared" si="60"/>
        <v>0</v>
      </c>
      <c r="X461" s="1">
        <f t="shared" si="61"/>
        <v>0</v>
      </c>
      <c r="Y461" s="1">
        <f t="shared" si="62"/>
        <v>0</v>
      </c>
      <c r="Z461" s="1">
        <f t="shared" si="63"/>
        <v>0</v>
      </c>
      <c r="AA461" s="1">
        <f t="shared" si="64"/>
        <v>0</v>
      </c>
    </row>
    <row r="462" spans="2:27" x14ac:dyDescent="0.3">
      <c r="B462" s="12"/>
      <c r="I462" s="14"/>
      <c r="J462" s="13"/>
      <c r="T462" s="1">
        <f t="shared" si="57"/>
        <v>0</v>
      </c>
      <c r="U462" s="1">
        <f t="shared" si="58"/>
        <v>0</v>
      </c>
      <c r="V462" s="1">
        <f t="shared" si="59"/>
        <v>0</v>
      </c>
      <c r="W462" s="1">
        <f t="shared" si="60"/>
        <v>0</v>
      </c>
      <c r="X462" s="1">
        <f t="shared" si="61"/>
        <v>0</v>
      </c>
      <c r="Y462" s="1">
        <f t="shared" si="62"/>
        <v>0</v>
      </c>
      <c r="Z462" s="1">
        <f t="shared" si="63"/>
        <v>0</v>
      </c>
      <c r="AA462" s="1">
        <f t="shared" si="64"/>
        <v>0</v>
      </c>
    </row>
    <row r="463" spans="2:27" x14ac:dyDescent="0.3">
      <c r="B463" s="12"/>
      <c r="I463" s="14"/>
      <c r="J463" s="13"/>
      <c r="T463" s="1">
        <f t="shared" si="57"/>
        <v>0</v>
      </c>
      <c r="U463" s="1">
        <f t="shared" si="58"/>
        <v>0</v>
      </c>
      <c r="V463" s="1">
        <f t="shared" si="59"/>
        <v>0</v>
      </c>
      <c r="W463" s="1">
        <f t="shared" si="60"/>
        <v>0</v>
      </c>
      <c r="X463" s="1">
        <f t="shared" si="61"/>
        <v>0</v>
      </c>
      <c r="Y463" s="1">
        <f t="shared" si="62"/>
        <v>0</v>
      </c>
      <c r="Z463" s="1">
        <f t="shared" si="63"/>
        <v>0</v>
      </c>
      <c r="AA463" s="1">
        <f t="shared" si="64"/>
        <v>0</v>
      </c>
    </row>
    <row r="464" spans="2:27" x14ac:dyDescent="0.3">
      <c r="B464" s="12"/>
      <c r="I464" s="14"/>
      <c r="J464" s="13"/>
      <c r="T464" s="1">
        <f t="shared" si="57"/>
        <v>0</v>
      </c>
      <c r="U464" s="1">
        <f t="shared" si="58"/>
        <v>0</v>
      </c>
      <c r="V464" s="1">
        <f t="shared" si="59"/>
        <v>0</v>
      </c>
      <c r="W464" s="1">
        <f t="shared" si="60"/>
        <v>0</v>
      </c>
      <c r="X464" s="1">
        <f t="shared" si="61"/>
        <v>0</v>
      </c>
      <c r="Y464" s="1">
        <f t="shared" si="62"/>
        <v>0</v>
      </c>
      <c r="Z464" s="1">
        <f t="shared" si="63"/>
        <v>0</v>
      </c>
      <c r="AA464" s="1">
        <f t="shared" si="64"/>
        <v>0</v>
      </c>
    </row>
    <row r="465" spans="2:27" x14ac:dyDescent="0.3">
      <c r="B465" s="12"/>
      <c r="I465" s="14"/>
      <c r="J465" s="13"/>
      <c r="T465" s="1">
        <f t="shared" si="57"/>
        <v>0</v>
      </c>
      <c r="U465" s="1">
        <f t="shared" si="58"/>
        <v>0</v>
      </c>
      <c r="V465" s="1">
        <f t="shared" si="59"/>
        <v>0</v>
      </c>
      <c r="W465" s="1">
        <f t="shared" si="60"/>
        <v>0</v>
      </c>
      <c r="X465" s="1">
        <f t="shared" si="61"/>
        <v>0</v>
      </c>
      <c r="Y465" s="1">
        <f t="shared" si="62"/>
        <v>0</v>
      </c>
      <c r="Z465" s="1">
        <f t="shared" si="63"/>
        <v>0</v>
      </c>
      <c r="AA465" s="1">
        <f t="shared" si="64"/>
        <v>0</v>
      </c>
    </row>
    <row r="466" spans="2:27" x14ac:dyDescent="0.3">
      <c r="B466" s="12"/>
      <c r="I466" s="14"/>
      <c r="J466" s="13"/>
      <c r="T466" s="1">
        <f t="shared" si="57"/>
        <v>0</v>
      </c>
      <c r="U466" s="1">
        <f t="shared" si="58"/>
        <v>0</v>
      </c>
      <c r="V466" s="1">
        <f t="shared" si="59"/>
        <v>0</v>
      </c>
      <c r="W466" s="1">
        <f t="shared" si="60"/>
        <v>0</v>
      </c>
      <c r="X466" s="1">
        <f t="shared" si="61"/>
        <v>0</v>
      </c>
      <c r="Y466" s="1">
        <f t="shared" si="62"/>
        <v>0</v>
      </c>
      <c r="Z466" s="1">
        <f t="shared" si="63"/>
        <v>0</v>
      </c>
      <c r="AA466" s="1">
        <f t="shared" si="64"/>
        <v>0</v>
      </c>
    </row>
    <row r="467" spans="2:27" x14ac:dyDescent="0.3">
      <c r="B467" s="12"/>
      <c r="I467" s="14"/>
      <c r="J467" s="13"/>
      <c r="T467" s="1">
        <f t="shared" si="57"/>
        <v>0</v>
      </c>
      <c r="U467" s="1">
        <f t="shared" si="58"/>
        <v>0</v>
      </c>
      <c r="V467" s="1">
        <f t="shared" si="59"/>
        <v>0</v>
      </c>
      <c r="W467" s="1">
        <f t="shared" si="60"/>
        <v>0</v>
      </c>
      <c r="X467" s="1">
        <f t="shared" si="61"/>
        <v>0</v>
      </c>
      <c r="Y467" s="1">
        <f t="shared" si="62"/>
        <v>0</v>
      </c>
      <c r="Z467" s="1">
        <f t="shared" si="63"/>
        <v>0</v>
      </c>
      <c r="AA467" s="1">
        <f t="shared" si="64"/>
        <v>0</v>
      </c>
    </row>
    <row r="468" spans="2:27" x14ac:dyDescent="0.3">
      <c r="B468" s="12"/>
      <c r="I468" s="14"/>
      <c r="J468" s="13"/>
      <c r="T468" s="1">
        <f t="shared" si="57"/>
        <v>0</v>
      </c>
      <c r="U468" s="1">
        <f t="shared" si="58"/>
        <v>0</v>
      </c>
      <c r="V468" s="1">
        <f t="shared" si="59"/>
        <v>0</v>
      </c>
      <c r="W468" s="1">
        <f t="shared" si="60"/>
        <v>0</v>
      </c>
      <c r="X468" s="1">
        <f t="shared" si="61"/>
        <v>0</v>
      </c>
      <c r="Y468" s="1">
        <f t="shared" si="62"/>
        <v>0</v>
      </c>
      <c r="Z468" s="1">
        <f t="shared" si="63"/>
        <v>0</v>
      </c>
      <c r="AA468" s="1">
        <f t="shared" si="64"/>
        <v>0</v>
      </c>
    </row>
    <row r="469" spans="2:27" x14ac:dyDescent="0.3">
      <c r="B469" s="12"/>
      <c r="I469" s="14"/>
      <c r="J469" s="13"/>
      <c r="T469" s="1">
        <f t="shared" si="57"/>
        <v>0</v>
      </c>
      <c r="U469" s="1">
        <f t="shared" si="58"/>
        <v>0</v>
      </c>
      <c r="V469" s="1">
        <f t="shared" si="59"/>
        <v>0</v>
      </c>
      <c r="W469" s="1">
        <f t="shared" si="60"/>
        <v>0</v>
      </c>
      <c r="X469" s="1">
        <f t="shared" si="61"/>
        <v>0</v>
      </c>
      <c r="Y469" s="1">
        <f t="shared" si="62"/>
        <v>0</v>
      </c>
      <c r="Z469" s="1">
        <f t="shared" si="63"/>
        <v>0</v>
      </c>
      <c r="AA469" s="1">
        <f t="shared" si="64"/>
        <v>0</v>
      </c>
    </row>
    <row r="470" spans="2:27" x14ac:dyDescent="0.3">
      <c r="B470" s="12"/>
      <c r="I470" s="14"/>
      <c r="J470" s="13"/>
      <c r="T470" s="1">
        <f t="shared" si="57"/>
        <v>0</v>
      </c>
      <c r="U470" s="1">
        <f t="shared" si="58"/>
        <v>0</v>
      </c>
      <c r="V470" s="1">
        <f t="shared" si="59"/>
        <v>0</v>
      </c>
      <c r="W470" s="1">
        <f t="shared" si="60"/>
        <v>0</v>
      </c>
      <c r="X470" s="1">
        <f t="shared" si="61"/>
        <v>0</v>
      </c>
      <c r="Y470" s="1">
        <f t="shared" si="62"/>
        <v>0</v>
      </c>
      <c r="Z470" s="1">
        <f t="shared" si="63"/>
        <v>0</v>
      </c>
      <c r="AA470" s="1">
        <f t="shared" si="64"/>
        <v>0</v>
      </c>
    </row>
    <row r="471" spans="2:27" x14ac:dyDescent="0.3">
      <c r="B471" s="12"/>
      <c r="I471" s="14"/>
      <c r="J471" s="13"/>
      <c r="T471" s="1">
        <f t="shared" si="57"/>
        <v>0</v>
      </c>
      <c r="U471" s="1">
        <f t="shared" si="58"/>
        <v>0</v>
      </c>
      <c r="V471" s="1">
        <f t="shared" si="59"/>
        <v>0</v>
      </c>
      <c r="W471" s="1">
        <f t="shared" si="60"/>
        <v>0</v>
      </c>
      <c r="X471" s="1">
        <f t="shared" si="61"/>
        <v>0</v>
      </c>
      <c r="Y471" s="1">
        <f t="shared" si="62"/>
        <v>0</v>
      </c>
      <c r="Z471" s="1">
        <f t="shared" si="63"/>
        <v>0</v>
      </c>
      <c r="AA471" s="1">
        <f t="shared" si="64"/>
        <v>0</v>
      </c>
    </row>
    <row r="472" spans="2:27" x14ac:dyDescent="0.3">
      <c r="B472" s="12"/>
      <c r="I472" s="14"/>
      <c r="J472" s="13"/>
      <c r="T472" s="1">
        <f t="shared" si="57"/>
        <v>0</v>
      </c>
      <c r="U472" s="1">
        <f t="shared" si="58"/>
        <v>0</v>
      </c>
      <c r="V472" s="1">
        <f t="shared" si="59"/>
        <v>0</v>
      </c>
      <c r="W472" s="1">
        <f t="shared" si="60"/>
        <v>0</v>
      </c>
      <c r="X472" s="1">
        <f t="shared" si="61"/>
        <v>0</v>
      </c>
      <c r="Y472" s="1">
        <f t="shared" si="62"/>
        <v>0</v>
      </c>
      <c r="Z472" s="1">
        <f t="shared" si="63"/>
        <v>0</v>
      </c>
      <c r="AA472" s="1">
        <f t="shared" si="64"/>
        <v>0</v>
      </c>
    </row>
    <row r="473" spans="2:27" x14ac:dyDescent="0.3">
      <c r="B473" s="12"/>
      <c r="I473" s="14"/>
      <c r="J473" s="13"/>
      <c r="T473" s="1">
        <f t="shared" si="57"/>
        <v>0</v>
      </c>
      <c r="U473" s="1">
        <f t="shared" si="58"/>
        <v>0</v>
      </c>
      <c r="V473" s="1">
        <f t="shared" si="59"/>
        <v>0</v>
      </c>
      <c r="W473" s="1">
        <f t="shared" si="60"/>
        <v>0</v>
      </c>
      <c r="X473" s="1">
        <f t="shared" si="61"/>
        <v>0</v>
      </c>
      <c r="Y473" s="1">
        <f t="shared" si="62"/>
        <v>0</v>
      </c>
      <c r="Z473" s="1">
        <f t="shared" si="63"/>
        <v>0</v>
      </c>
      <c r="AA473" s="1">
        <f t="shared" si="64"/>
        <v>0</v>
      </c>
    </row>
    <row r="474" spans="2:27" x14ac:dyDescent="0.3">
      <c r="B474" s="12"/>
      <c r="I474" s="14"/>
      <c r="J474" s="13"/>
      <c r="T474" s="1">
        <f t="shared" si="57"/>
        <v>0</v>
      </c>
      <c r="U474" s="1">
        <f t="shared" si="58"/>
        <v>0</v>
      </c>
      <c r="V474" s="1">
        <f t="shared" si="59"/>
        <v>0</v>
      </c>
      <c r="W474" s="1">
        <f t="shared" si="60"/>
        <v>0</v>
      </c>
      <c r="X474" s="1">
        <f t="shared" si="61"/>
        <v>0</v>
      </c>
      <c r="Y474" s="1">
        <f t="shared" si="62"/>
        <v>0</v>
      </c>
      <c r="Z474" s="1">
        <f t="shared" si="63"/>
        <v>0</v>
      </c>
      <c r="AA474" s="1">
        <f t="shared" si="64"/>
        <v>0</v>
      </c>
    </row>
    <row r="475" spans="2:27" x14ac:dyDescent="0.3">
      <c r="B475" s="12"/>
      <c r="I475" s="14"/>
      <c r="J475" s="13"/>
      <c r="T475" s="1">
        <f t="shared" si="57"/>
        <v>0</v>
      </c>
      <c r="U475" s="1">
        <f t="shared" si="58"/>
        <v>0</v>
      </c>
      <c r="V475" s="1">
        <f t="shared" si="59"/>
        <v>0</v>
      </c>
      <c r="W475" s="1">
        <f t="shared" si="60"/>
        <v>0</v>
      </c>
      <c r="X475" s="1">
        <f t="shared" si="61"/>
        <v>0</v>
      </c>
      <c r="Y475" s="1">
        <f t="shared" si="62"/>
        <v>0</v>
      </c>
      <c r="Z475" s="1">
        <f t="shared" si="63"/>
        <v>0</v>
      </c>
      <c r="AA475" s="1">
        <f t="shared" si="64"/>
        <v>0</v>
      </c>
    </row>
    <row r="476" spans="2:27" x14ac:dyDescent="0.3">
      <c r="B476" s="12"/>
      <c r="J476" s="13"/>
      <c r="T476" s="1">
        <f t="shared" si="57"/>
        <v>0</v>
      </c>
      <c r="U476" s="1">
        <f t="shared" si="58"/>
        <v>0</v>
      </c>
      <c r="V476" s="1">
        <f t="shared" si="59"/>
        <v>0</v>
      </c>
      <c r="W476" s="1">
        <f t="shared" si="60"/>
        <v>0</v>
      </c>
      <c r="X476" s="1">
        <f t="shared" si="61"/>
        <v>0</v>
      </c>
      <c r="Y476" s="1">
        <f t="shared" si="62"/>
        <v>0</v>
      </c>
      <c r="Z476" s="1">
        <f t="shared" si="63"/>
        <v>0</v>
      </c>
      <c r="AA476" s="1">
        <f t="shared" si="64"/>
        <v>0</v>
      </c>
    </row>
    <row r="477" spans="2:27" x14ac:dyDescent="0.3">
      <c r="B477" s="12"/>
      <c r="J477" s="13"/>
      <c r="T477" s="1">
        <f t="shared" si="57"/>
        <v>0</v>
      </c>
      <c r="U477" s="1">
        <f t="shared" si="58"/>
        <v>0</v>
      </c>
      <c r="V477" s="1">
        <f t="shared" si="59"/>
        <v>0</v>
      </c>
      <c r="W477" s="1">
        <f t="shared" si="60"/>
        <v>0</v>
      </c>
      <c r="X477" s="1">
        <f t="shared" si="61"/>
        <v>0</v>
      </c>
      <c r="Y477" s="1">
        <f t="shared" si="62"/>
        <v>0</v>
      </c>
      <c r="Z477" s="1">
        <f t="shared" si="63"/>
        <v>0</v>
      </c>
      <c r="AA477" s="1">
        <f t="shared" si="64"/>
        <v>0</v>
      </c>
    </row>
    <row r="478" spans="2:27" x14ac:dyDescent="0.3">
      <c r="B478" s="12"/>
      <c r="J478" s="13"/>
      <c r="T478" s="1">
        <f t="shared" si="57"/>
        <v>0</v>
      </c>
      <c r="U478" s="1">
        <f t="shared" si="58"/>
        <v>0</v>
      </c>
      <c r="V478" s="1">
        <f t="shared" si="59"/>
        <v>0</v>
      </c>
      <c r="W478" s="1">
        <f t="shared" si="60"/>
        <v>0</v>
      </c>
      <c r="X478" s="1">
        <f t="shared" si="61"/>
        <v>0</v>
      </c>
      <c r="Y478" s="1">
        <f t="shared" si="62"/>
        <v>0</v>
      </c>
      <c r="Z478" s="1">
        <f t="shared" si="63"/>
        <v>0</v>
      </c>
      <c r="AA478" s="1">
        <f t="shared" si="64"/>
        <v>0</v>
      </c>
    </row>
    <row r="479" spans="2:27" x14ac:dyDescent="0.3">
      <c r="B479" s="12"/>
      <c r="J479" s="13"/>
      <c r="T479" s="1">
        <f t="shared" si="57"/>
        <v>0</v>
      </c>
      <c r="U479" s="1">
        <f t="shared" si="58"/>
        <v>0</v>
      </c>
      <c r="V479" s="1">
        <f t="shared" si="59"/>
        <v>0</v>
      </c>
      <c r="W479" s="1">
        <f t="shared" si="60"/>
        <v>0</v>
      </c>
      <c r="X479" s="1">
        <f t="shared" si="61"/>
        <v>0</v>
      </c>
      <c r="Y479" s="1">
        <f t="shared" si="62"/>
        <v>0</v>
      </c>
      <c r="Z479" s="1">
        <f t="shared" si="63"/>
        <v>0</v>
      </c>
      <c r="AA479" s="1">
        <f t="shared" si="64"/>
        <v>0</v>
      </c>
    </row>
    <row r="480" spans="2:27" x14ac:dyDescent="0.3">
      <c r="B480" s="12"/>
      <c r="J480" s="13"/>
      <c r="T480" s="1">
        <f t="shared" si="57"/>
        <v>0</v>
      </c>
      <c r="U480" s="1">
        <f t="shared" si="58"/>
        <v>0</v>
      </c>
      <c r="V480" s="1">
        <f t="shared" si="59"/>
        <v>0</v>
      </c>
      <c r="W480" s="1">
        <f t="shared" si="60"/>
        <v>0</v>
      </c>
      <c r="X480" s="1">
        <f t="shared" si="61"/>
        <v>0</v>
      </c>
      <c r="Y480" s="1">
        <f t="shared" si="62"/>
        <v>0</v>
      </c>
      <c r="Z480" s="1">
        <f t="shared" si="63"/>
        <v>0</v>
      </c>
      <c r="AA480" s="1">
        <f t="shared" si="64"/>
        <v>0</v>
      </c>
    </row>
    <row r="481" spans="2:27" x14ac:dyDescent="0.3">
      <c r="B481" s="12"/>
      <c r="J481" s="13"/>
      <c r="T481" s="1">
        <f t="shared" si="57"/>
        <v>0</v>
      </c>
      <c r="U481" s="1">
        <f t="shared" si="58"/>
        <v>0</v>
      </c>
      <c r="V481" s="1">
        <f t="shared" si="59"/>
        <v>0</v>
      </c>
      <c r="W481" s="1">
        <f t="shared" si="60"/>
        <v>0</v>
      </c>
      <c r="X481" s="1">
        <f t="shared" si="61"/>
        <v>0</v>
      </c>
      <c r="Y481" s="1">
        <f t="shared" si="62"/>
        <v>0</v>
      </c>
      <c r="Z481" s="1">
        <f t="shared" si="63"/>
        <v>0</v>
      </c>
      <c r="AA481" s="1">
        <f t="shared" si="64"/>
        <v>0</v>
      </c>
    </row>
    <row r="482" spans="2:27" x14ac:dyDescent="0.3">
      <c r="B482" s="12"/>
      <c r="J482" s="13"/>
      <c r="T482" s="1">
        <f t="shared" si="57"/>
        <v>0</v>
      </c>
      <c r="U482" s="1">
        <f t="shared" si="58"/>
        <v>0</v>
      </c>
      <c r="V482" s="1">
        <f t="shared" si="59"/>
        <v>0</v>
      </c>
      <c r="W482" s="1">
        <f t="shared" si="60"/>
        <v>0</v>
      </c>
      <c r="X482" s="1">
        <f t="shared" si="61"/>
        <v>0</v>
      </c>
      <c r="Y482" s="1">
        <f t="shared" si="62"/>
        <v>0</v>
      </c>
      <c r="Z482" s="1">
        <f t="shared" si="63"/>
        <v>0</v>
      </c>
      <c r="AA482" s="1">
        <f t="shared" si="64"/>
        <v>0</v>
      </c>
    </row>
    <row r="483" spans="2:27" x14ac:dyDescent="0.3">
      <c r="B483" s="12"/>
      <c r="J483" s="13"/>
      <c r="T483" s="1">
        <f t="shared" si="57"/>
        <v>0</v>
      </c>
      <c r="U483" s="1">
        <f t="shared" si="58"/>
        <v>0</v>
      </c>
      <c r="V483" s="1">
        <f t="shared" si="59"/>
        <v>0</v>
      </c>
      <c r="W483" s="1">
        <f t="shared" si="60"/>
        <v>0</v>
      </c>
      <c r="X483" s="1">
        <f t="shared" si="61"/>
        <v>0</v>
      </c>
      <c r="Y483" s="1">
        <f t="shared" si="62"/>
        <v>0</v>
      </c>
      <c r="Z483" s="1">
        <f t="shared" si="63"/>
        <v>0</v>
      </c>
      <c r="AA483" s="1">
        <f t="shared" si="64"/>
        <v>0</v>
      </c>
    </row>
    <row r="484" spans="2:27" x14ac:dyDescent="0.3">
      <c r="B484" s="12"/>
      <c r="J484" s="13"/>
      <c r="T484" s="1">
        <f t="shared" si="57"/>
        <v>0</v>
      </c>
      <c r="U484" s="1">
        <f t="shared" si="58"/>
        <v>0</v>
      </c>
      <c r="V484" s="1">
        <f t="shared" si="59"/>
        <v>0</v>
      </c>
      <c r="W484" s="1">
        <f t="shared" si="60"/>
        <v>0</v>
      </c>
      <c r="X484" s="1">
        <f t="shared" si="61"/>
        <v>0</v>
      </c>
      <c r="Y484" s="1">
        <f t="shared" si="62"/>
        <v>0</v>
      </c>
      <c r="Z484" s="1">
        <f t="shared" si="63"/>
        <v>0</v>
      </c>
      <c r="AA484" s="1">
        <f t="shared" si="64"/>
        <v>0</v>
      </c>
    </row>
    <row r="485" spans="2:27" x14ac:dyDescent="0.3">
      <c r="B485" s="12"/>
      <c r="J485" s="13"/>
      <c r="T485" s="1">
        <f t="shared" si="57"/>
        <v>0</v>
      </c>
      <c r="U485" s="1">
        <f t="shared" si="58"/>
        <v>0</v>
      </c>
      <c r="V485" s="1">
        <f t="shared" si="59"/>
        <v>0</v>
      </c>
      <c r="W485" s="1">
        <f t="shared" si="60"/>
        <v>0</v>
      </c>
      <c r="X485" s="1">
        <f t="shared" si="61"/>
        <v>0</v>
      </c>
      <c r="Y485" s="1">
        <f t="shared" si="62"/>
        <v>0</v>
      </c>
      <c r="Z485" s="1">
        <f t="shared" si="63"/>
        <v>0</v>
      </c>
      <c r="AA485" s="1">
        <f t="shared" si="64"/>
        <v>0</v>
      </c>
    </row>
    <row r="486" spans="2:27" x14ac:dyDescent="0.3">
      <c r="B486" s="12"/>
      <c r="J486" s="13"/>
      <c r="T486" s="1">
        <f t="shared" si="57"/>
        <v>0</v>
      </c>
      <c r="U486" s="1">
        <f t="shared" si="58"/>
        <v>0</v>
      </c>
      <c r="V486" s="1">
        <f t="shared" si="59"/>
        <v>0</v>
      </c>
      <c r="W486" s="1">
        <f t="shared" si="60"/>
        <v>0</v>
      </c>
      <c r="X486" s="1">
        <f t="shared" si="61"/>
        <v>0</v>
      </c>
      <c r="Y486" s="1">
        <f t="shared" si="62"/>
        <v>0</v>
      </c>
      <c r="Z486" s="1">
        <f t="shared" si="63"/>
        <v>0</v>
      </c>
      <c r="AA486" s="1">
        <f t="shared" si="64"/>
        <v>0</v>
      </c>
    </row>
    <row r="487" spans="2:27" x14ac:dyDescent="0.3">
      <c r="B487" s="12"/>
      <c r="J487" s="13"/>
      <c r="T487" s="1">
        <f t="shared" si="57"/>
        <v>0</v>
      </c>
      <c r="U487" s="1">
        <f t="shared" si="58"/>
        <v>0</v>
      </c>
      <c r="V487" s="1">
        <f t="shared" si="59"/>
        <v>0</v>
      </c>
      <c r="W487" s="1">
        <f t="shared" si="60"/>
        <v>0</v>
      </c>
      <c r="X487" s="1">
        <f t="shared" si="61"/>
        <v>0</v>
      </c>
      <c r="Y487" s="1">
        <f t="shared" si="62"/>
        <v>0</v>
      </c>
      <c r="Z487" s="1">
        <f t="shared" si="63"/>
        <v>0</v>
      </c>
      <c r="AA487" s="1">
        <f t="shared" si="64"/>
        <v>0</v>
      </c>
    </row>
    <row r="488" spans="2:27" x14ac:dyDescent="0.3">
      <c r="B488" s="12"/>
      <c r="J488" s="13"/>
      <c r="T488" s="1">
        <f t="shared" si="57"/>
        <v>0</v>
      </c>
      <c r="U488" s="1">
        <f t="shared" si="58"/>
        <v>0</v>
      </c>
      <c r="V488" s="1">
        <f t="shared" si="59"/>
        <v>0</v>
      </c>
      <c r="W488" s="1">
        <f t="shared" si="60"/>
        <v>0</v>
      </c>
      <c r="X488" s="1">
        <f t="shared" si="61"/>
        <v>0</v>
      </c>
      <c r="Y488" s="1">
        <f t="shared" si="62"/>
        <v>0</v>
      </c>
      <c r="Z488" s="1">
        <f t="shared" si="63"/>
        <v>0</v>
      </c>
      <c r="AA488" s="1">
        <f t="shared" si="64"/>
        <v>0</v>
      </c>
    </row>
    <row r="489" spans="2:27" x14ac:dyDescent="0.3">
      <c r="B489" s="12"/>
      <c r="I489" s="14"/>
      <c r="J489" s="13"/>
      <c r="T489" s="1">
        <f t="shared" si="57"/>
        <v>0</v>
      </c>
      <c r="U489" s="1">
        <f t="shared" si="58"/>
        <v>0</v>
      </c>
      <c r="V489" s="1">
        <f t="shared" si="59"/>
        <v>0</v>
      </c>
      <c r="W489" s="1">
        <f t="shared" si="60"/>
        <v>0</v>
      </c>
      <c r="X489" s="1">
        <f t="shared" si="61"/>
        <v>0</v>
      </c>
      <c r="Y489" s="1">
        <f t="shared" si="62"/>
        <v>0</v>
      </c>
      <c r="Z489" s="1">
        <f t="shared" si="63"/>
        <v>0</v>
      </c>
      <c r="AA489" s="1">
        <f t="shared" si="64"/>
        <v>0</v>
      </c>
    </row>
    <row r="490" spans="2:27" x14ac:dyDescent="0.3">
      <c r="B490" s="12"/>
      <c r="I490" s="14"/>
      <c r="J490" s="13"/>
      <c r="T490" s="1">
        <f t="shared" si="57"/>
        <v>0</v>
      </c>
      <c r="U490" s="1">
        <f t="shared" si="58"/>
        <v>0</v>
      </c>
      <c r="V490" s="1">
        <f t="shared" si="59"/>
        <v>0</v>
      </c>
      <c r="W490" s="1">
        <f t="shared" si="60"/>
        <v>0</v>
      </c>
      <c r="X490" s="1">
        <f t="shared" si="61"/>
        <v>0</v>
      </c>
      <c r="Y490" s="1">
        <f t="shared" si="62"/>
        <v>0</v>
      </c>
      <c r="Z490" s="1">
        <f t="shared" si="63"/>
        <v>0</v>
      </c>
      <c r="AA490" s="1">
        <f t="shared" si="64"/>
        <v>0</v>
      </c>
    </row>
    <row r="491" spans="2:27" x14ac:dyDescent="0.3">
      <c r="B491" s="12"/>
      <c r="I491" s="14"/>
      <c r="J491" s="13"/>
      <c r="T491" s="1">
        <f t="shared" si="57"/>
        <v>0</v>
      </c>
      <c r="U491" s="1">
        <f t="shared" si="58"/>
        <v>0</v>
      </c>
      <c r="V491" s="1">
        <f t="shared" si="59"/>
        <v>0</v>
      </c>
      <c r="W491" s="1">
        <f t="shared" si="60"/>
        <v>0</v>
      </c>
      <c r="X491" s="1">
        <f t="shared" si="61"/>
        <v>0</v>
      </c>
      <c r="Y491" s="1">
        <f t="shared" si="62"/>
        <v>0</v>
      </c>
      <c r="Z491" s="1">
        <f t="shared" si="63"/>
        <v>0</v>
      </c>
      <c r="AA491" s="1">
        <f t="shared" si="64"/>
        <v>0</v>
      </c>
    </row>
    <row r="492" spans="2:27" x14ac:dyDescent="0.3">
      <c r="B492" s="12"/>
      <c r="I492" s="14"/>
      <c r="J492" s="13"/>
      <c r="T492" s="1">
        <f t="shared" si="57"/>
        <v>0</v>
      </c>
      <c r="U492" s="1">
        <f t="shared" si="58"/>
        <v>0</v>
      </c>
      <c r="V492" s="1">
        <f t="shared" si="59"/>
        <v>0</v>
      </c>
      <c r="W492" s="1">
        <f t="shared" si="60"/>
        <v>0</v>
      </c>
      <c r="X492" s="1">
        <f t="shared" si="61"/>
        <v>0</v>
      </c>
      <c r="Y492" s="1">
        <f t="shared" si="62"/>
        <v>0</v>
      </c>
      <c r="Z492" s="1">
        <f t="shared" si="63"/>
        <v>0</v>
      </c>
      <c r="AA492" s="1">
        <f t="shared" si="64"/>
        <v>0</v>
      </c>
    </row>
    <row r="493" spans="2:27" x14ac:dyDescent="0.3">
      <c r="B493" s="12"/>
      <c r="I493" s="14"/>
      <c r="J493" s="13"/>
      <c r="T493" s="1">
        <f t="shared" si="57"/>
        <v>0</v>
      </c>
      <c r="U493" s="1">
        <f t="shared" si="58"/>
        <v>0</v>
      </c>
      <c r="V493" s="1">
        <f t="shared" si="59"/>
        <v>0</v>
      </c>
      <c r="W493" s="1">
        <f t="shared" si="60"/>
        <v>0</v>
      </c>
      <c r="X493" s="1">
        <f t="shared" si="61"/>
        <v>0</v>
      </c>
      <c r="Y493" s="1">
        <f t="shared" si="62"/>
        <v>0</v>
      </c>
      <c r="Z493" s="1">
        <f t="shared" si="63"/>
        <v>0</v>
      </c>
      <c r="AA493" s="1">
        <f t="shared" si="64"/>
        <v>0</v>
      </c>
    </row>
    <row r="494" spans="2:27" x14ac:dyDescent="0.3">
      <c r="B494" s="12"/>
      <c r="I494" s="14"/>
      <c r="J494" s="13"/>
      <c r="T494" s="1">
        <f t="shared" si="57"/>
        <v>0</v>
      </c>
      <c r="U494" s="1">
        <f t="shared" si="58"/>
        <v>0</v>
      </c>
      <c r="V494" s="1">
        <f t="shared" si="59"/>
        <v>0</v>
      </c>
      <c r="W494" s="1">
        <f t="shared" si="60"/>
        <v>0</v>
      </c>
      <c r="X494" s="1">
        <f t="shared" si="61"/>
        <v>0</v>
      </c>
      <c r="Y494" s="1">
        <f t="shared" si="62"/>
        <v>0</v>
      </c>
      <c r="Z494" s="1">
        <f t="shared" si="63"/>
        <v>0</v>
      </c>
      <c r="AA494" s="1">
        <f t="shared" si="64"/>
        <v>0</v>
      </c>
    </row>
    <row r="495" spans="2:27" x14ac:dyDescent="0.3">
      <c r="B495" s="12"/>
      <c r="I495" s="14"/>
      <c r="J495" s="13"/>
      <c r="T495" s="1">
        <f t="shared" si="57"/>
        <v>0</v>
      </c>
      <c r="U495" s="1">
        <f t="shared" si="58"/>
        <v>0</v>
      </c>
      <c r="V495" s="1">
        <f t="shared" si="59"/>
        <v>0</v>
      </c>
      <c r="W495" s="1">
        <f t="shared" si="60"/>
        <v>0</v>
      </c>
      <c r="X495" s="1">
        <f t="shared" si="61"/>
        <v>0</v>
      </c>
      <c r="Y495" s="1">
        <f t="shared" si="62"/>
        <v>0</v>
      </c>
      <c r="Z495" s="1">
        <f t="shared" si="63"/>
        <v>0</v>
      </c>
      <c r="AA495" s="1">
        <f t="shared" si="64"/>
        <v>0</v>
      </c>
    </row>
    <row r="496" spans="2:27" x14ac:dyDescent="0.3">
      <c r="B496" s="12"/>
      <c r="I496" s="14"/>
      <c r="J496" s="13"/>
      <c r="T496" s="1">
        <f t="shared" si="57"/>
        <v>0</v>
      </c>
      <c r="U496" s="1">
        <f t="shared" si="58"/>
        <v>0</v>
      </c>
      <c r="V496" s="1">
        <f t="shared" si="59"/>
        <v>0</v>
      </c>
      <c r="W496" s="1">
        <f t="shared" si="60"/>
        <v>0</v>
      </c>
      <c r="X496" s="1">
        <f t="shared" si="61"/>
        <v>0</v>
      </c>
      <c r="Y496" s="1">
        <f t="shared" si="62"/>
        <v>0</v>
      </c>
      <c r="Z496" s="1">
        <f t="shared" si="63"/>
        <v>0</v>
      </c>
      <c r="AA496" s="1">
        <f t="shared" si="64"/>
        <v>0</v>
      </c>
    </row>
    <row r="497" spans="2:27" x14ac:dyDescent="0.3">
      <c r="B497" s="12"/>
      <c r="I497" s="14"/>
      <c r="J497" s="13"/>
      <c r="T497" s="1">
        <f t="shared" si="57"/>
        <v>0</v>
      </c>
      <c r="U497" s="1">
        <f t="shared" si="58"/>
        <v>0</v>
      </c>
      <c r="V497" s="1">
        <f t="shared" si="59"/>
        <v>0</v>
      </c>
      <c r="W497" s="1">
        <f t="shared" si="60"/>
        <v>0</v>
      </c>
      <c r="X497" s="1">
        <f t="shared" si="61"/>
        <v>0</v>
      </c>
      <c r="Y497" s="1">
        <f t="shared" si="62"/>
        <v>0</v>
      </c>
      <c r="Z497" s="1">
        <f t="shared" si="63"/>
        <v>0</v>
      </c>
      <c r="AA497" s="1">
        <f t="shared" si="64"/>
        <v>0</v>
      </c>
    </row>
    <row r="498" spans="2:27" x14ac:dyDescent="0.3">
      <c r="B498" s="12"/>
      <c r="I498" s="14"/>
      <c r="J498" s="13"/>
      <c r="T498" s="1">
        <f t="shared" si="57"/>
        <v>0</v>
      </c>
      <c r="U498" s="1">
        <f t="shared" si="58"/>
        <v>0</v>
      </c>
      <c r="V498" s="1">
        <f t="shared" si="59"/>
        <v>0</v>
      </c>
      <c r="W498" s="1">
        <f t="shared" si="60"/>
        <v>0</v>
      </c>
      <c r="X498" s="1">
        <f t="shared" si="61"/>
        <v>0</v>
      </c>
      <c r="Y498" s="1">
        <f t="shared" si="62"/>
        <v>0</v>
      </c>
      <c r="Z498" s="1">
        <f t="shared" si="63"/>
        <v>0</v>
      </c>
      <c r="AA498" s="1">
        <f t="shared" si="64"/>
        <v>0</v>
      </c>
    </row>
    <row r="499" spans="2:27" x14ac:dyDescent="0.3">
      <c r="B499" s="12"/>
      <c r="I499" s="14"/>
      <c r="J499" s="13"/>
      <c r="T499" s="1">
        <f t="shared" si="57"/>
        <v>0</v>
      </c>
      <c r="U499" s="1">
        <f t="shared" si="58"/>
        <v>0</v>
      </c>
      <c r="V499" s="1">
        <f t="shared" si="59"/>
        <v>0</v>
      </c>
      <c r="W499" s="1">
        <f t="shared" si="60"/>
        <v>0</v>
      </c>
      <c r="X499" s="1">
        <f t="shared" si="61"/>
        <v>0</v>
      </c>
      <c r="Y499" s="1">
        <f t="shared" si="62"/>
        <v>0</v>
      </c>
      <c r="Z499" s="1">
        <f t="shared" si="63"/>
        <v>0</v>
      </c>
      <c r="AA499" s="1">
        <f t="shared" si="64"/>
        <v>0</v>
      </c>
    </row>
    <row r="500" spans="2:27" x14ac:dyDescent="0.3">
      <c r="B500" s="12"/>
      <c r="I500" s="14"/>
      <c r="J500" s="13"/>
      <c r="T500" s="1">
        <f t="shared" si="57"/>
        <v>0</v>
      </c>
      <c r="U500" s="1">
        <f t="shared" si="58"/>
        <v>0</v>
      </c>
      <c r="V500" s="1">
        <f t="shared" si="59"/>
        <v>0</v>
      </c>
      <c r="W500" s="1">
        <f t="shared" si="60"/>
        <v>0</v>
      </c>
      <c r="X500" s="1">
        <f t="shared" si="61"/>
        <v>0</v>
      </c>
      <c r="Y500" s="1">
        <f t="shared" si="62"/>
        <v>0</v>
      </c>
      <c r="Z500" s="1">
        <f t="shared" si="63"/>
        <v>0</v>
      </c>
      <c r="AA500" s="1">
        <f t="shared" si="64"/>
        <v>0</v>
      </c>
    </row>
    <row r="501" spans="2:27" x14ac:dyDescent="0.3">
      <c r="B501" s="12"/>
      <c r="I501" s="14"/>
      <c r="J501" s="13"/>
      <c r="T501" s="1">
        <f t="shared" si="57"/>
        <v>0</v>
      </c>
      <c r="U501" s="1">
        <f t="shared" si="58"/>
        <v>0</v>
      </c>
      <c r="V501" s="1">
        <f t="shared" si="59"/>
        <v>0</v>
      </c>
      <c r="W501" s="1">
        <f t="shared" si="60"/>
        <v>0</v>
      </c>
      <c r="X501" s="1">
        <f t="shared" si="61"/>
        <v>0</v>
      </c>
      <c r="Y501" s="1">
        <f t="shared" si="62"/>
        <v>0</v>
      </c>
      <c r="Z501" s="1">
        <f t="shared" si="63"/>
        <v>0</v>
      </c>
      <c r="AA501" s="1">
        <f t="shared" si="64"/>
        <v>0</v>
      </c>
    </row>
    <row r="502" spans="2:27" x14ac:dyDescent="0.3">
      <c r="B502" s="12"/>
      <c r="I502" s="14"/>
      <c r="J502" s="13"/>
      <c r="T502" s="1">
        <f t="shared" si="57"/>
        <v>0</v>
      </c>
      <c r="U502" s="1">
        <f t="shared" si="58"/>
        <v>0</v>
      </c>
      <c r="V502" s="1">
        <f t="shared" si="59"/>
        <v>0</v>
      </c>
      <c r="W502" s="1">
        <f t="shared" si="60"/>
        <v>0</v>
      </c>
      <c r="X502" s="1">
        <f t="shared" si="61"/>
        <v>0</v>
      </c>
      <c r="Y502" s="1">
        <f t="shared" si="62"/>
        <v>0</v>
      </c>
      <c r="Z502" s="1">
        <f t="shared" si="63"/>
        <v>0</v>
      </c>
      <c r="AA502" s="1">
        <f t="shared" si="64"/>
        <v>0</v>
      </c>
    </row>
    <row r="503" spans="2:27" x14ac:dyDescent="0.3">
      <c r="B503" s="12"/>
      <c r="I503" s="14"/>
      <c r="J503" s="13"/>
      <c r="T503" s="1">
        <f t="shared" si="57"/>
        <v>0</v>
      </c>
      <c r="U503" s="1">
        <f t="shared" si="58"/>
        <v>0</v>
      </c>
      <c r="V503" s="1">
        <f t="shared" si="59"/>
        <v>0</v>
      </c>
      <c r="W503" s="1">
        <f t="shared" si="60"/>
        <v>0</v>
      </c>
      <c r="X503" s="1">
        <f t="shared" si="61"/>
        <v>0</v>
      </c>
      <c r="Y503" s="1">
        <f t="shared" si="62"/>
        <v>0</v>
      </c>
      <c r="Z503" s="1">
        <f t="shared" si="63"/>
        <v>0</v>
      </c>
      <c r="AA503" s="1">
        <f t="shared" si="64"/>
        <v>0</v>
      </c>
    </row>
    <row r="504" spans="2:27" x14ac:dyDescent="0.3">
      <c r="B504" s="12"/>
      <c r="I504" s="14"/>
      <c r="J504" s="13"/>
      <c r="T504" s="1">
        <f t="shared" si="57"/>
        <v>0</v>
      </c>
      <c r="U504" s="1">
        <f t="shared" si="58"/>
        <v>0</v>
      </c>
      <c r="V504" s="1">
        <f t="shared" si="59"/>
        <v>0</v>
      </c>
      <c r="W504" s="1">
        <f t="shared" si="60"/>
        <v>0</v>
      </c>
      <c r="X504" s="1">
        <f t="shared" si="61"/>
        <v>0</v>
      </c>
      <c r="Y504" s="1">
        <f t="shared" si="62"/>
        <v>0</v>
      </c>
      <c r="Z504" s="1">
        <f t="shared" si="63"/>
        <v>0</v>
      </c>
      <c r="AA504" s="1">
        <f t="shared" si="64"/>
        <v>0</v>
      </c>
    </row>
    <row r="505" spans="2:27" x14ac:dyDescent="0.3">
      <c r="B505" s="12"/>
      <c r="I505" s="14"/>
      <c r="J505" s="13"/>
      <c r="T505" s="1">
        <f t="shared" si="57"/>
        <v>0</v>
      </c>
      <c r="U505" s="1">
        <f t="shared" si="58"/>
        <v>0</v>
      </c>
      <c r="V505" s="1">
        <f t="shared" si="59"/>
        <v>0</v>
      </c>
      <c r="W505" s="1">
        <f t="shared" si="60"/>
        <v>0</v>
      </c>
      <c r="X505" s="1">
        <f t="shared" si="61"/>
        <v>0</v>
      </c>
      <c r="Y505" s="1">
        <f t="shared" si="62"/>
        <v>0</v>
      </c>
      <c r="Z505" s="1">
        <f t="shared" si="63"/>
        <v>0</v>
      </c>
      <c r="AA505" s="1">
        <f t="shared" si="64"/>
        <v>0</v>
      </c>
    </row>
    <row r="506" spans="2:27" x14ac:dyDescent="0.3">
      <c r="B506" s="12"/>
      <c r="I506" s="14"/>
      <c r="J506" s="14"/>
      <c r="T506" s="1">
        <f t="shared" si="57"/>
        <v>0</v>
      </c>
      <c r="U506" s="1">
        <f t="shared" si="58"/>
        <v>0</v>
      </c>
      <c r="V506" s="1">
        <f t="shared" si="59"/>
        <v>0</v>
      </c>
      <c r="W506" s="1">
        <f t="shared" si="60"/>
        <v>0</v>
      </c>
      <c r="X506" s="1">
        <f t="shared" si="61"/>
        <v>0</v>
      </c>
      <c r="Y506" s="1">
        <f t="shared" si="62"/>
        <v>0</v>
      </c>
      <c r="Z506" s="1">
        <f t="shared" si="63"/>
        <v>0</v>
      </c>
      <c r="AA506" s="1">
        <f t="shared" si="64"/>
        <v>0</v>
      </c>
    </row>
    <row r="507" spans="2:27" x14ac:dyDescent="0.3">
      <c r="B507" s="12"/>
      <c r="I507" s="14"/>
      <c r="J507" s="14"/>
      <c r="T507" s="1">
        <f t="shared" si="57"/>
        <v>0</v>
      </c>
      <c r="U507" s="1">
        <f t="shared" si="58"/>
        <v>0</v>
      </c>
      <c r="V507" s="1">
        <f t="shared" si="59"/>
        <v>0</v>
      </c>
      <c r="W507" s="1">
        <f t="shared" si="60"/>
        <v>0</v>
      </c>
      <c r="X507" s="1">
        <f t="shared" si="61"/>
        <v>0</v>
      </c>
      <c r="Y507" s="1">
        <f t="shared" si="62"/>
        <v>0</v>
      </c>
      <c r="Z507" s="1">
        <f t="shared" si="63"/>
        <v>0</v>
      </c>
      <c r="AA507" s="1">
        <f t="shared" si="64"/>
        <v>0</v>
      </c>
    </row>
    <row r="508" spans="2:27" x14ac:dyDescent="0.3">
      <c r="B508" s="12"/>
      <c r="I508" s="14"/>
      <c r="J508" s="14"/>
      <c r="T508" s="1">
        <f t="shared" si="57"/>
        <v>0</v>
      </c>
      <c r="U508" s="1">
        <f t="shared" si="58"/>
        <v>0</v>
      </c>
      <c r="V508" s="1">
        <f t="shared" si="59"/>
        <v>0</v>
      </c>
      <c r="W508" s="1">
        <f t="shared" si="60"/>
        <v>0</v>
      </c>
      <c r="X508" s="1">
        <f t="shared" si="61"/>
        <v>0</v>
      </c>
      <c r="Y508" s="1">
        <f t="shared" si="62"/>
        <v>0</v>
      </c>
      <c r="Z508" s="1">
        <f t="shared" si="63"/>
        <v>0</v>
      </c>
      <c r="AA508" s="1">
        <f t="shared" si="64"/>
        <v>0</v>
      </c>
    </row>
    <row r="509" spans="2:27" x14ac:dyDescent="0.3">
      <c r="B509" s="12"/>
      <c r="I509" s="14"/>
      <c r="J509" s="14"/>
      <c r="T509" s="1">
        <f t="shared" si="57"/>
        <v>0</v>
      </c>
      <c r="U509" s="1">
        <f t="shared" si="58"/>
        <v>0</v>
      </c>
      <c r="V509" s="1">
        <f t="shared" si="59"/>
        <v>0</v>
      </c>
      <c r="W509" s="1">
        <f t="shared" si="60"/>
        <v>0</v>
      </c>
      <c r="X509" s="1">
        <f t="shared" si="61"/>
        <v>0</v>
      </c>
      <c r="Y509" s="1">
        <f t="shared" si="62"/>
        <v>0</v>
      </c>
      <c r="Z509" s="1">
        <f t="shared" si="63"/>
        <v>0</v>
      </c>
      <c r="AA509" s="1">
        <f t="shared" si="64"/>
        <v>0</v>
      </c>
    </row>
    <row r="510" spans="2:27" x14ac:dyDescent="0.3">
      <c r="B510" s="12"/>
      <c r="I510" s="14"/>
      <c r="J510" s="13"/>
      <c r="T510" s="1">
        <f t="shared" si="57"/>
        <v>0</v>
      </c>
      <c r="U510" s="1">
        <f t="shared" si="58"/>
        <v>0</v>
      </c>
      <c r="V510" s="1">
        <f t="shared" si="59"/>
        <v>0</v>
      </c>
      <c r="W510" s="1">
        <f t="shared" si="60"/>
        <v>0</v>
      </c>
      <c r="X510" s="1">
        <f t="shared" si="61"/>
        <v>0</v>
      </c>
      <c r="Y510" s="1">
        <f t="shared" si="62"/>
        <v>0</v>
      </c>
      <c r="Z510" s="1">
        <f t="shared" si="63"/>
        <v>0</v>
      </c>
      <c r="AA510" s="1">
        <f t="shared" si="64"/>
        <v>0</v>
      </c>
    </row>
    <row r="511" spans="2:27" x14ac:dyDescent="0.3">
      <c r="B511" s="12"/>
      <c r="I511" s="14"/>
      <c r="J511" s="13"/>
      <c r="T511" s="1">
        <f t="shared" si="57"/>
        <v>0</v>
      </c>
      <c r="U511" s="1">
        <f t="shared" si="58"/>
        <v>0</v>
      </c>
      <c r="V511" s="1">
        <f t="shared" si="59"/>
        <v>0</v>
      </c>
      <c r="W511" s="1">
        <f t="shared" si="60"/>
        <v>0</v>
      </c>
      <c r="X511" s="1">
        <f t="shared" si="61"/>
        <v>0</v>
      </c>
      <c r="Y511" s="1">
        <f t="shared" si="62"/>
        <v>0</v>
      </c>
      <c r="Z511" s="1">
        <f t="shared" si="63"/>
        <v>0</v>
      </c>
      <c r="AA511" s="1">
        <f t="shared" si="64"/>
        <v>0</v>
      </c>
    </row>
    <row r="512" spans="2:27" x14ac:dyDescent="0.3">
      <c r="B512" s="12"/>
      <c r="I512" s="14"/>
      <c r="J512" s="13"/>
      <c r="T512" s="1">
        <f t="shared" si="57"/>
        <v>0</v>
      </c>
      <c r="U512" s="1">
        <f t="shared" si="58"/>
        <v>0</v>
      </c>
      <c r="V512" s="1">
        <f t="shared" si="59"/>
        <v>0</v>
      </c>
      <c r="W512" s="1">
        <f t="shared" si="60"/>
        <v>0</v>
      </c>
      <c r="X512" s="1">
        <f t="shared" si="61"/>
        <v>0</v>
      </c>
      <c r="Y512" s="1">
        <f t="shared" si="62"/>
        <v>0</v>
      </c>
      <c r="Z512" s="1">
        <f t="shared" si="63"/>
        <v>0</v>
      </c>
      <c r="AA512" s="1">
        <f t="shared" si="64"/>
        <v>0</v>
      </c>
    </row>
    <row r="513" spans="2:27" x14ac:dyDescent="0.3">
      <c r="B513" s="12"/>
      <c r="I513" s="14"/>
      <c r="J513" s="13"/>
      <c r="T513" s="1">
        <f t="shared" si="57"/>
        <v>0</v>
      </c>
      <c r="U513" s="1">
        <f t="shared" si="58"/>
        <v>0</v>
      </c>
      <c r="V513" s="1">
        <f t="shared" si="59"/>
        <v>0</v>
      </c>
      <c r="W513" s="1">
        <f t="shared" si="60"/>
        <v>0</v>
      </c>
      <c r="X513" s="1">
        <f t="shared" si="61"/>
        <v>0</v>
      </c>
      <c r="Y513" s="1">
        <f t="shared" si="62"/>
        <v>0</v>
      </c>
      <c r="Z513" s="1">
        <f t="shared" si="63"/>
        <v>0</v>
      </c>
      <c r="AA513" s="1">
        <f t="shared" si="64"/>
        <v>0</v>
      </c>
    </row>
    <row r="514" spans="2:27" x14ac:dyDescent="0.3">
      <c r="B514" s="12"/>
      <c r="I514" s="14"/>
      <c r="J514" s="13"/>
      <c r="T514" s="1">
        <f t="shared" si="57"/>
        <v>0</v>
      </c>
      <c r="U514" s="1">
        <f t="shared" si="58"/>
        <v>0</v>
      </c>
      <c r="V514" s="1">
        <f t="shared" si="59"/>
        <v>0</v>
      </c>
      <c r="W514" s="1">
        <f t="shared" si="60"/>
        <v>0</v>
      </c>
      <c r="X514" s="1">
        <f t="shared" si="61"/>
        <v>0</v>
      </c>
      <c r="Y514" s="1">
        <f t="shared" si="62"/>
        <v>0</v>
      </c>
      <c r="Z514" s="1">
        <f t="shared" si="63"/>
        <v>0</v>
      </c>
      <c r="AA514" s="1">
        <f t="shared" si="64"/>
        <v>0</v>
      </c>
    </row>
    <row r="515" spans="2:27" x14ac:dyDescent="0.3">
      <c r="B515" s="12"/>
      <c r="I515" s="14"/>
      <c r="J515" s="13"/>
      <c r="T515" s="1">
        <f t="shared" si="57"/>
        <v>0</v>
      </c>
      <c r="U515" s="1">
        <f t="shared" si="58"/>
        <v>0</v>
      </c>
      <c r="V515" s="1">
        <f t="shared" si="59"/>
        <v>0</v>
      </c>
      <c r="W515" s="1">
        <f t="shared" si="60"/>
        <v>0</v>
      </c>
      <c r="X515" s="1">
        <f t="shared" si="61"/>
        <v>0</v>
      </c>
      <c r="Y515" s="1">
        <f t="shared" si="62"/>
        <v>0</v>
      </c>
      <c r="Z515" s="1">
        <f t="shared" si="63"/>
        <v>0</v>
      </c>
      <c r="AA515" s="1">
        <f t="shared" si="64"/>
        <v>0</v>
      </c>
    </row>
    <row r="516" spans="2:27" x14ac:dyDescent="0.3">
      <c r="B516" s="12"/>
      <c r="I516" s="14"/>
      <c r="J516" s="13"/>
      <c r="T516" s="1">
        <f t="shared" si="57"/>
        <v>0</v>
      </c>
      <c r="U516" s="1">
        <f t="shared" si="58"/>
        <v>0</v>
      </c>
      <c r="V516" s="1">
        <f t="shared" si="59"/>
        <v>0</v>
      </c>
      <c r="W516" s="1">
        <f t="shared" si="60"/>
        <v>0</v>
      </c>
      <c r="X516" s="1">
        <f t="shared" si="61"/>
        <v>0</v>
      </c>
      <c r="Y516" s="1">
        <f t="shared" si="62"/>
        <v>0</v>
      </c>
      <c r="Z516" s="1">
        <f t="shared" si="63"/>
        <v>0</v>
      </c>
      <c r="AA516" s="1">
        <f t="shared" si="64"/>
        <v>0</v>
      </c>
    </row>
    <row r="517" spans="2:27" x14ac:dyDescent="0.3">
      <c r="B517" s="12"/>
      <c r="I517" s="14"/>
      <c r="J517" s="13"/>
      <c r="T517" s="1">
        <f t="shared" si="57"/>
        <v>0</v>
      </c>
      <c r="U517" s="1">
        <f t="shared" si="58"/>
        <v>0</v>
      </c>
      <c r="V517" s="1">
        <f t="shared" si="59"/>
        <v>0</v>
      </c>
      <c r="W517" s="1">
        <f t="shared" si="60"/>
        <v>0</v>
      </c>
      <c r="X517" s="1">
        <f t="shared" si="61"/>
        <v>0</v>
      </c>
      <c r="Y517" s="1">
        <f t="shared" si="62"/>
        <v>0</v>
      </c>
      <c r="Z517" s="1">
        <f t="shared" si="63"/>
        <v>0</v>
      </c>
      <c r="AA517" s="1">
        <f t="shared" si="64"/>
        <v>0</v>
      </c>
    </row>
    <row r="518" spans="2:27" x14ac:dyDescent="0.3">
      <c r="B518" s="12"/>
      <c r="I518" s="14"/>
      <c r="J518" s="13"/>
      <c r="T518" s="1">
        <f t="shared" si="57"/>
        <v>0</v>
      </c>
      <c r="U518" s="1">
        <f t="shared" si="58"/>
        <v>0</v>
      </c>
      <c r="V518" s="1">
        <f t="shared" si="59"/>
        <v>0</v>
      </c>
      <c r="W518" s="1">
        <f t="shared" si="60"/>
        <v>0</v>
      </c>
      <c r="X518" s="1">
        <f t="shared" si="61"/>
        <v>0</v>
      </c>
      <c r="Y518" s="1">
        <f t="shared" si="62"/>
        <v>0</v>
      </c>
      <c r="Z518" s="1">
        <f t="shared" si="63"/>
        <v>0</v>
      </c>
      <c r="AA518" s="1">
        <f t="shared" si="64"/>
        <v>0</v>
      </c>
    </row>
    <row r="519" spans="2:27" x14ac:dyDescent="0.3">
      <c r="B519" s="12"/>
      <c r="I519" s="14"/>
      <c r="J519" s="13"/>
      <c r="T519" s="1">
        <f t="shared" ref="T519:T582" si="65">IF(AND(G519="-"),0,G519*F519)</f>
        <v>0</v>
      </c>
      <c r="U519" s="1">
        <f t="shared" ref="U519:U582" si="66">IF(AND(O519="-"),0,O519*N519)</f>
        <v>0</v>
      </c>
      <c r="V519" s="1">
        <f t="shared" ref="V519:V582" si="67">IFERROR(C519*H519,0)</f>
        <v>0</v>
      </c>
      <c r="W519" s="1">
        <f t="shared" ref="W519:W582" si="68">IFERROR(K519*P519,0)</f>
        <v>0</v>
      </c>
      <c r="X519" s="1">
        <f t="shared" ref="X519:X582" si="69">IFERROR(G519*1,0)</f>
        <v>0</v>
      </c>
      <c r="Y519" s="1">
        <f t="shared" ref="Y519:Y582" si="70">IFERROR(O519*1,0)</f>
        <v>0</v>
      </c>
      <c r="Z519" s="1">
        <f t="shared" ref="Z519:Z582" si="71">IFERROR(H519*1,0)</f>
        <v>0</v>
      </c>
      <c r="AA519" s="1">
        <f t="shared" ref="AA519:AA582" si="72">IFERROR(P519*1,0)</f>
        <v>0</v>
      </c>
    </row>
    <row r="520" spans="2:27" x14ac:dyDescent="0.3">
      <c r="B520" s="12"/>
      <c r="I520" s="14"/>
      <c r="J520" s="13"/>
      <c r="T520" s="1">
        <f t="shared" si="65"/>
        <v>0</v>
      </c>
      <c r="U520" s="1">
        <f t="shared" si="66"/>
        <v>0</v>
      </c>
      <c r="V520" s="1">
        <f t="shared" si="67"/>
        <v>0</v>
      </c>
      <c r="W520" s="1">
        <f t="shared" si="68"/>
        <v>0</v>
      </c>
      <c r="X520" s="1">
        <f t="shared" si="69"/>
        <v>0</v>
      </c>
      <c r="Y520" s="1">
        <f t="shared" si="70"/>
        <v>0</v>
      </c>
      <c r="Z520" s="1">
        <f t="shared" si="71"/>
        <v>0</v>
      </c>
      <c r="AA520" s="1">
        <f t="shared" si="72"/>
        <v>0</v>
      </c>
    </row>
    <row r="521" spans="2:27" x14ac:dyDescent="0.3">
      <c r="B521" s="12"/>
      <c r="I521" s="14"/>
      <c r="J521" s="13"/>
      <c r="T521" s="1">
        <f t="shared" si="65"/>
        <v>0</v>
      </c>
      <c r="U521" s="1">
        <f t="shared" si="66"/>
        <v>0</v>
      </c>
      <c r="V521" s="1">
        <f t="shared" si="67"/>
        <v>0</v>
      </c>
      <c r="W521" s="1">
        <f t="shared" si="68"/>
        <v>0</v>
      </c>
      <c r="X521" s="1">
        <f t="shared" si="69"/>
        <v>0</v>
      </c>
      <c r="Y521" s="1">
        <f t="shared" si="70"/>
        <v>0</v>
      </c>
      <c r="Z521" s="1">
        <f t="shared" si="71"/>
        <v>0</v>
      </c>
      <c r="AA521" s="1">
        <f t="shared" si="72"/>
        <v>0</v>
      </c>
    </row>
    <row r="522" spans="2:27" x14ac:dyDescent="0.3">
      <c r="B522" s="12"/>
      <c r="I522" s="14"/>
      <c r="J522" s="13"/>
      <c r="T522" s="1">
        <f t="shared" si="65"/>
        <v>0</v>
      </c>
      <c r="U522" s="1">
        <f t="shared" si="66"/>
        <v>0</v>
      </c>
      <c r="V522" s="1">
        <f t="shared" si="67"/>
        <v>0</v>
      </c>
      <c r="W522" s="1">
        <f t="shared" si="68"/>
        <v>0</v>
      </c>
      <c r="X522" s="1">
        <f t="shared" si="69"/>
        <v>0</v>
      </c>
      <c r="Y522" s="1">
        <f t="shared" si="70"/>
        <v>0</v>
      </c>
      <c r="Z522" s="1">
        <f t="shared" si="71"/>
        <v>0</v>
      </c>
      <c r="AA522" s="1">
        <f t="shared" si="72"/>
        <v>0</v>
      </c>
    </row>
    <row r="523" spans="2:27" x14ac:dyDescent="0.3">
      <c r="B523" s="12"/>
      <c r="I523" s="14"/>
      <c r="J523" s="13"/>
      <c r="T523" s="1">
        <f t="shared" si="65"/>
        <v>0</v>
      </c>
      <c r="U523" s="1">
        <f t="shared" si="66"/>
        <v>0</v>
      </c>
      <c r="V523" s="1">
        <f t="shared" si="67"/>
        <v>0</v>
      </c>
      <c r="W523" s="1">
        <f t="shared" si="68"/>
        <v>0</v>
      </c>
      <c r="X523" s="1">
        <f t="shared" si="69"/>
        <v>0</v>
      </c>
      <c r="Y523" s="1">
        <f t="shared" si="70"/>
        <v>0</v>
      </c>
      <c r="Z523" s="1">
        <f t="shared" si="71"/>
        <v>0</v>
      </c>
      <c r="AA523" s="1">
        <f t="shared" si="72"/>
        <v>0</v>
      </c>
    </row>
    <row r="524" spans="2:27" x14ac:dyDescent="0.3">
      <c r="B524" s="12"/>
      <c r="I524" s="14"/>
      <c r="J524" s="13"/>
      <c r="T524" s="1">
        <f t="shared" si="65"/>
        <v>0</v>
      </c>
      <c r="U524" s="1">
        <f t="shared" si="66"/>
        <v>0</v>
      </c>
      <c r="V524" s="1">
        <f t="shared" si="67"/>
        <v>0</v>
      </c>
      <c r="W524" s="1">
        <f t="shared" si="68"/>
        <v>0</v>
      </c>
      <c r="X524" s="1">
        <f t="shared" si="69"/>
        <v>0</v>
      </c>
      <c r="Y524" s="1">
        <f t="shared" si="70"/>
        <v>0</v>
      </c>
      <c r="Z524" s="1">
        <f t="shared" si="71"/>
        <v>0</v>
      </c>
      <c r="AA524" s="1">
        <f t="shared" si="72"/>
        <v>0</v>
      </c>
    </row>
    <row r="525" spans="2:27" x14ac:dyDescent="0.3">
      <c r="B525" s="12"/>
      <c r="I525" s="14"/>
      <c r="J525" s="13"/>
      <c r="T525" s="1">
        <f t="shared" si="65"/>
        <v>0</v>
      </c>
      <c r="U525" s="1">
        <f t="shared" si="66"/>
        <v>0</v>
      </c>
      <c r="V525" s="1">
        <f t="shared" si="67"/>
        <v>0</v>
      </c>
      <c r="W525" s="1">
        <f t="shared" si="68"/>
        <v>0</v>
      </c>
      <c r="X525" s="1">
        <f t="shared" si="69"/>
        <v>0</v>
      </c>
      <c r="Y525" s="1">
        <f t="shared" si="70"/>
        <v>0</v>
      </c>
      <c r="Z525" s="1">
        <f t="shared" si="71"/>
        <v>0</v>
      </c>
      <c r="AA525" s="1">
        <f t="shared" si="72"/>
        <v>0</v>
      </c>
    </row>
    <row r="526" spans="2:27" x14ac:dyDescent="0.3">
      <c r="B526" s="12"/>
      <c r="I526" s="14"/>
      <c r="J526" s="13"/>
      <c r="T526" s="1">
        <f t="shared" si="65"/>
        <v>0</v>
      </c>
      <c r="U526" s="1">
        <f t="shared" si="66"/>
        <v>0</v>
      </c>
      <c r="V526" s="1">
        <f t="shared" si="67"/>
        <v>0</v>
      </c>
      <c r="W526" s="1">
        <f t="shared" si="68"/>
        <v>0</v>
      </c>
      <c r="X526" s="1">
        <f t="shared" si="69"/>
        <v>0</v>
      </c>
      <c r="Y526" s="1">
        <f t="shared" si="70"/>
        <v>0</v>
      </c>
      <c r="Z526" s="1">
        <f t="shared" si="71"/>
        <v>0</v>
      </c>
      <c r="AA526" s="1">
        <f t="shared" si="72"/>
        <v>0</v>
      </c>
    </row>
    <row r="527" spans="2:27" x14ac:dyDescent="0.3">
      <c r="B527" s="12"/>
      <c r="I527" s="14"/>
      <c r="J527" s="13"/>
      <c r="T527" s="1">
        <f t="shared" si="65"/>
        <v>0</v>
      </c>
      <c r="U527" s="1">
        <f t="shared" si="66"/>
        <v>0</v>
      </c>
      <c r="V527" s="1">
        <f t="shared" si="67"/>
        <v>0</v>
      </c>
      <c r="W527" s="1">
        <f t="shared" si="68"/>
        <v>0</v>
      </c>
      <c r="X527" s="1">
        <f t="shared" si="69"/>
        <v>0</v>
      </c>
      <c r="Y527" s="1">
        <f t="shared" si="70"/>
        <v>0</v>
      </c>
      <c r="Z527" s="1">
        <f t="shared" si="71"/>
        <v>0</v>
      </c>
      <c r="AA527" s="1">
        <f t="shared" si="72"/>
        <v>0</v>
      </c>
    </row>
    <row r="528" spans="2:27" x14ac:dyDescent="0.3">
      <c r="B528" s="12"/>
      <c r="I528" s="14"/>
      <c r="J528" s="13"/>
      <c r="T528" s="1">
        <f t="shared" si="65"/>
        <v>0</v>
      </c>
      <c r="U528" s="1">
        <f t="shared" si="66"/>
        <v>0</v>
      </c>
      <c r="V528" s="1">
        <f t="shared" si="67"/>
        <v>0</v>
      </c>
      <c r="W528" s="1">
        <f t="shared" si="68"/>
        <v>0</v>
      </c>
      <c r="X528" s="1">
        <f t="shared" si="69"/>
        <v>0</v>
      </c>
      <c r="Y528" s="1">
        <f t="shared" si="70"/>
        <v>0</v>
      </c>
      <c r="Z528" s="1">
        <f t="shared" si="71"/>
        <v>0</v>
      </c>
      <c r="AA528" s="1">
        <f t="shared" si="72"/>
        <v>0</v>
      </c>
    </row>
    <row r="529" spans="2:27" x14ac:dyDescent="0.3">
      <c r="B529" s="12"/>
      <c r="I529" s="14"/>
      <c r="J529" s="13"/>
      <c r="T529" s="1">
        <f t="shared" si="65"/>
        <v>0</v>
      </c>
      <c r="U529" s="1">
        <f t="shared" si="66"/>
        <v>0</v>
      </c>
      <c r="V529" s="1">
        <f t="shared" si="67"/>
        <v>0</v>
      </c>
      <c r="W529" s="1">
        <f t="shared" si="68"/>
        <v>0</v>
      </c>
      <c r="X529" s="1">
        <f t="shared" si="69"/>
        <v>0</v>
      </c>
      <c r="Y529" s="1">
        <f t="shared" si="70"/>
        <v>0</v>
      </c>
      <c r="Z529" s="1">
        <f t="shared" si="71"/>
        <v>0</v>
      </c>
      <c r="AA529" s="1">
        <f t="shared" si="72"/>
        <v>0</v>
      </c>
    </row>
    <row r="530" spans="2:27" x14ac:dyDescent="0.3">
      <c r="B530" s="12"/>
      <c r="I530" s="14"/>
      <c r="J530" s="13"/>
      <c r="T530" s="1">
        <f t="shared" si="65"/>
        <v>0</v>
      </c>
      <c r="U530" s="1">
        <f t="shared" si="66"/>
        <v>0</v>
      </c>
      <c r="V530" s="1">
        <f t="shared" si="67"/>
        <v>0</v>
      </c>
      <c r="W530" s="1">
        <f t="shared" si="68"/>
        <v>0</v>
      </c>
      <c r="X530" s="1">
        <f t="shared" si="69"/>
        <v>0</v>
      </c>
      <c r="Y530" s="1">
        <f t="shared" si="70"/>
        <v>0</v>
      </c>
      <c r="Z530" s="1">
        <f t="shared" si="71"/>
        <v>0</v>
      </c>
      <c r="AA530" s="1">
        <f t="shared" si="72"/>
        <v>0</v>
      </c>
    </row>
    <row r="531" spans="2:27" x14ac:dyDescent="0.3">
      <c r="B531" s="12"/>
      <c r="I531" s="14"/>
      <c r="J531" s="13"/>
      <c r="T531" s="1">
        <f t="shared" si="65"/>
        <v>0</v>
      </c>
      <c r="U531" s="1">
        <f t="shared" si="66"/>
        <v>0</v>
      </c>
      <c r="V531" s="1">
        <f t="shared" si="67"/>
        <v>0</v>
      </c>
      <c r="W531" s="1">
        <f t="shared" si="68"/>
        <v>0</v>
      </c>
      <c r="X531" s="1">
        <f t="shared" si="69"/>
        <v>0</v>
      </c>
      <c r="Y531" s="1">
        <f t="shared" si="70"/>
        <v>0</v>
      </c>
      <c r="Z531" s="1">
        <f t="shared" si="71"/>
        <v>0</v>
      </c>
      <c r="AA531" s="1">
        <f t="shared" si="72"/>
        <v>0</v>
      </c>
    </row>
    <row r="532" spans="2:27" x14ac:dyDescent="0.3">
      <c r="B532" s="12"/>
      <c r="I532" s="14"/>
      <c r="J532" s="13"/>
      <c r="T532" s="1">
        <f t="shared" si="65"/>
        <v>0</v>
      </c>
      <c r="U532" s="1">
        <f t="shared" si="66"/>
        <v>0</v>
      </c>
      <c r="V532" s="1">
        <f t="shared" si="67"/>
        <v>0</v>
      </c>
      <c r="W532" s="1">
        <f t="shared" si="68"/>
        <v>0</v>
      </c>
      <c r="X532" s="1">
        <f t="shared" si="69"/>
        <v>0</v>
      </c>
      <c r="Y532" s="1">
        <f t="shared" si="70"/>
        <v>0</v>
      </c>
      <c r="Z532" s="1">
        <f t="shared" si="71"/>
        <v>0</v>
      </c>
      <c r="AA532" s="1">
        <f t="shared" si="72"/>
        <v>0</v>
      </c>
    </row>
    <row r="533" spans="2:27" x14ac:dyDescent="0.3">
      <c r="B533" s="12"/>
      <c r="I533" s="14"/>
      <c r="J533" s="13"/>
      <c r="T533" s="1">
        <f t="shared" si="65"/>
        <v>0</v>
      </c>
      <c r="U533" s="1">
        <f t="shared" si="66"/>
        <v>0</v>
      </c>
      <c r="V533" s="1">
        <f t="shared" si="67"/>
        <v>0</v>
      </c>
      <c r="W533" s="1">
        <f t="shared" si="68"/>
        <v>0</v>
      </c>
      <c r="X533" s="1">
        <f t="shared" si="69"/>
        <v>0</v>
      </c>
      <c r="Y533" s="1">
        <f t="shared" si="70"/>
        <v>0</v>
      </c>
      <c r="Z533" s="1">
        <f t="shared" si="71"/>
        <v>0</v>
      </c>
      <c r="AA533" s="1">
        <f t="shared" si="72"/>
        <v>0</v>
      </c>
    </row>
    <row r="534" spans="2:27" x14ac:dyDescent="0.3">
      <c r="B534" s="12"/>
      <c r="I534" s="14"/>
      <c r="J534" s="13"/>
      <c r="T534" s="1">
        <f t="shared" si="65"/>
        <v>0</v>
      </c>
      <c r="U534" s="1">
        <f t="shared" si="66"/>
        <v>0</v>
      </c>
      <c r="V534" s="1">
        <f t="shared" si="67"/>
        <v>0</v>
      </c>
      <c r="W534" s="1">
        <f t="shared" si="68"/>
        <v>0</v>
      </c>
      <c r="X534" s="1">
        <f t="shared" si="69"/>
        <v>0</v>
      </c>
      <c r="Y534" s="1">
        <f t="shared" si="70"/>
        <v>0</v>
      </c>
      <c r="Z534" s="1">
        <f t="shared" si="71"/>
        <v>0</v>
      </c>
      <c r="AA534" s="1">
        <f t="shared" si="72"/>
        <v>0</v>
      </c>
    </row>
    <row r="535" spans="2:27" x14ac:dyDescent="0.3">
      <c r="B535" s="12"/>
      <c r="I535" s="14"/>
      <c r="J535" s="13"/>
      <c r="T535" s="1">
        <f t="shared" si="65"/>
        <v>0</v>
      </c>
      <c r="U535" s="1">
        <f t="shared" si="66"/>
        <v>0</v>
      </c>
      <c r="V535" s="1">
        <f t="shared" si="67"/>
        <v>0</v>
      </c>
      <c r="W535" s="1">
        <f t="shared" si="68"/>
        <v>0</v>
      </c>
      <c r="X535" s="1">
        <f t="shared" si="69"/>
        <v>0</v>
      </c>
      <c r="Y535" s="1">
        <f t="shared" si="70"/>
        <v>0</v>
      </c>
      <c r="Z535" s="1">
        <f t="shared" si="71"/>
        <v>0</v>
      </c>
      <c r="AA535" s="1">
        <f t="shared" si="72"/>
        <v>0</v>
      </c>
    </row>
    <row r="536" spans="2:27" x14ac:dyDescent="0.3">
      <c r="B536" s="12"/>
      <c r="I536" s="14"/>
      <c r="J536" s="13"/>
      <c r="T536" s="1">
        <f t="shared" si="65"/>
        <v>0</v>
      </c>
      <c r="U536" s="1">
        <f t="shared" si="66"/>
        <v>0</v>
      </c>
      <c r="V536" s="1">
        <f t="shared" si="67"/>
        <v>0</v>
      </c>
      <c r="W536" s="1">
        <f t="shared" si="68"/>
        <v>0</v>
      </c>
      <c r="X536" s="1">
        <f t="shared" si="69"/>
        <v>0</v>
      </c>
      <c r="Y536" s="1">
        <f t="shared" si="70"/>
        <v>0</v>
      </c>
      <c r="Z536" s="1">
        <f t="shared" si="71"/>
        <v>0</v>
      </c>
      <c r="AA536" s="1">
        <f t="shared" si="72"/>
        <v>0</v>
      </c>
    </row>
    <row r="537" spans="2:27" x14ac:dyDescent="0.3">
      <c r="B537" s="12"/>
      <c r="I537" s="14"/>
      <c r="J537" s="13"/>
      <c r="T537" s="1">
        <f t="shared" si="65"/>
        <v>0</v>
      </c>
      <c r="U537" s="1">
        <f t="shared" si="66"/>
        <v>0</v>
      </c>
      <c r="V537" s="1">
        <f t="shared" si="67"/>
        <v>0</v>
      </c>
      <c r="W537" s="1">
        <f t="shared" si="68"/>
        <v>0</v>
      </c>
      <c r="X537" s="1">
        <f t="shared" si="69"/>
        <v>0</v>
      </c>
      <c r="Y537" s="1">
        <f t="shared" si="70"/>
        <v>0</v>
      </c>
      <c r="Z537" s="1">
        <f t="shared" si="71"/>
        <v>0</v>
      </c>
      <c r="AA537" s="1">
        <f t="shared" si="72"/>
        <v>0</v>
      </c>
    </row>
    <row r="538" spans="2:27" x14ac:dyDescent="0.3">
      <c r="B538" s="12"/>
      <c r="I538" s="14"/>
      <c r="J538" s="13"/>
      <c r="T538" s="1">
        <f t="shared" si="65"/>
        <v>0</v>
      </c>
      <c r="U538" s="1">
        <f t="shared" si="66"/>
        <v>0</v>
      </c>
      <c r="V538" s="1">
        <f t="shared" si="67"/>
        <v>0</v>
      </c>
      <c r="W538" s="1">
        <f t="shared" si="68"/>
        <v>0</v>
      </c>
      <c r="X538" s="1">
        <f t="shared" si="69"/>
        <v>0</v>
      </c>
      <c r="Y538" s="1">
        <f t="shared" si="70"/>
        <v>0</v>
      </c>
      <c r="Z538" s="1">
        <f t="shared" si="71"/>
        <v>0</v>
      </c>
      <c r="AA538" s="1">
        <f t="shared" si="72"/>
        <v>0</v>
      </c>
    </row>
    <row r="539" spans="2:27" x14ac:dyDescent="0.3">
      <c r="B539" s="12"/>
      <c r="I539" s="14"/>
      <c r="J539" s="13"/>
      <c r="T539" s="1">
        <f t="shared" si="65"/>
        <v>0</v>
      </c>
      <c r="U539" s="1">
        <f t="shared" si="66"/>
        <v>0</v>
      </c>
      <c r="V539" s="1">
        <f t="shared" si="67"/>
        <v>0</v>
      </c>
      <c r="W539" s="1">
        <f t="shared" si="68"/>
        <v>0</v>
      </c>
      <c r="X539" s="1">
        <f t="shared" si="69"/>
        <v>0</v>
      </c>
      <c r="Y539" s="1">
        <f t="shared" si="70"/>
        <v>0</v>
      </c>
      <c r="Z539" s="1">
        <f t="shared" si="71"/>
        <v>0</v>
      </c>
      <c r="AA539" s="1">
        <f t="shared" si="72"/>
        <v>0</v>
      </c>
    </row>
    <row r="540" spans="2:27" x14ac:dyDescent="0.3">
      <c r="B540" s="12"/>
      <c r="I540" s="14"/>
      <c r="J540" s="13"/>
      <c r="T540" s="1">
        <f t="shared" si="65"/>
        <v>0</v>
      </c>
      <c r="U540" s="1">
        <f t="shared" si="66"/>
        <v>0</v>
      </c>
      <c r="V540" s="1">
        <f t="shared" si="67"/>
        <v>0</v>
      </c>
      <c r="W540" s="1">
        <f t="shared" si="68"/>
        <v>0</v>
      </c>
      <c r="X540" s="1">
        <f t="shared" si="69"/>
        <v>0</v>
      </c>
      <c r="Y540" s="1">
        <f t="shared" si="70"/>
        <v>0</v>
      </c>
      <c r="Z540" s="1">
        <f t="shared" si="71"/>
        <v>0</v>
      </c>
      <c r="AA540" s="1">
        <f t="shared" si="72"/>
        <v>0</v>
      </c>
    </row>
    <row r="541" spans="2:27" x14ac:dyDescent="0.3">
      <c r="B541" s="12"/>
      <c r="I541" s="14"/>
      <c r="J541" s="13"/>
      <c r="T541" s="1">
        <f t="shared" si="65"/>
        <v>0</v>
      </c>
      <c r="U541" s="1">
        <f t="shared" si="66"/>
        <v>0</v>
      </c>
      <c r="V541" s="1">
        <f t="shared" si="67"/>
        <v>0</v>
      </c>
      <c r="W541" s="1">
        <f t="shared" si="68"/>
        <v>0</v>
      </c>
      <c r="X541" s="1">
        <f t="shared" si="69"/>
        <v>0</v>
      </c>
      <c r="Y541" s="1">
        <f t="shared" si="70"/>
        <v>0</v>
      </c>
      <c r="Z541" s="1">
        <f t="shared" si="71"/>
        <v>0</v>
      </c>
      <c r="AA541" s="1">
        <f t="shared" si="72"/>
        <v>0</v>
      </c>
    </row>
    <row r="542" spans="2:27" x14ac:dyDescent="0.3">
      <c r="B542" s="12"/>
      <c r="J542" s="13"/>
      <c r="T542" s="1">
        <f t="shared" si="65"/>
        <v>0</v>
      </c>
      <c r="U542" s="1">
        <f t="shared" si="66"/>
        <v>0</v>
      </c>
      <c r="V542" s="1">
        <f t="shared" si="67"/>
        <v>0</v>
      </c>
      <c r="W542" s="1">
        <f t="shared" si="68"/>
        <v>0</v>
      </c>
      <c r="X542" s="1">
        <f t="shared" si="69"/>
        <v>0</v>
      </c>
      <c r="Y542" s="1">
        <f t="shared" si="70"/>
        <v>0</v>
      </c>
      <c r="Z542" s="1">
        <f t="shared" si="71"/>
        <v>0</v>
      </c>
      <c r="AA542" s="1">
        <f t="shared" si="72"/>
        <v>0</v>
      </c>
    </row>
    <row r="543" spans="2:27" x14ac:dyDescent="0.3">
      <c r="B543" s="12"/>
      <c r="J543" s="13"/>
      <c r="T543" s="1">
        <f t="shared" si="65"/>
        <v>0</v>
      </c>
      <c r="U543" s="1">
        <f t="shared" si="66"/>
        <v>0</v>
      </c>
      <c r="V543" s="1">
        <f t="shared" si="67"/>
        <v>0</v>
      </c>
      <c r="W543" s="1">
        <f t="shared" si="68"/>
        <v>0</v>
      </c>
      <c r="X543" s="1">
        <f t="shared" si="69"/>
        <v>0</v>
      </c>
      <c r="Y543" s="1">
        <f t="shared" si="70"/>
        <v>0</v>
      </c>
      <c r="Z543" s="1">
        <f t="shared" si="71"/>
        <v>0</v>
      </c>
      <c r="AA543" s="1">
        <f t="shared" si="72"/>
        <v>0</v>
      </c>
    </row>
    <row r="544" spans="2:27" x14ac:dyDescent="0.3">
      <c r="B544" s="12"/>
      <c r="J544" s="13"/>
      <c r="T544" s="1">
        <f t="shared" si="65"/>
        <v>0</v>
      </c>
      <c r="U544" s="1">
        <f t="shared" si="66"/>
        <v>0</v>
      </c>
      <c r="V544" s="1">
        <f t="shared" si="67"/>
        <v>0</v>
      </c>
      <c r="W544" s="1">
        <f t="shared" si="68"/>
        <v>0</v>
      </c>
      <c r="X544" s="1">
        <f t="shared" si="69"/>
        <v>0</v>
      </c>
      <c r="Y544" s="1">
        <f t="shared" si="70"/>
        <v>0</v>
      </c>
      <c r="Z544" s="1">
        <f t="shared" si="71"/>
        <v>0</v>
      </c>
      <c r="AA544" s="1">
        <f t="shared" si="72"/>
        <v>0</v>
      </c>
    </row>
    <row r="545" spans="2:27" x14ac:dyDescent="0.3">
      <c r="B545" s="12"/>
      <c r="J545" s="13"/>
      <c r="T545" s="1">
        <f t="shared" si="65"/>
        <v>0</v>
      </c>
      <c r="U545" s="1">
        <f t="shared" si="66"/>
        <v>0</v>
      </c>
      <c r="V545" s="1">
        <f t="shared" si="67"/>
        <v>0</v>
      </c>
      <c r="W545" s="1">
        <f t="shared" si="68"/>
        <v>0</v>
      </c>
      <c r="X545" s="1">
        <f t="shared" si="69"/>
        <v>0</v>
      </c>
      <c r="Y545" s="1">
        <f t="shared" si="70"/>
        <v>0</v>
      </c>
      <c r="Z545" s="1">
        <f t="shared" si="71"/>
        <v>0</v>
      </c>
      <c r="AA545" s="1">
        <f t="shared" si="72"/>
        <v>0</v>
      </c>
    </row>
    <row r="546" spans="2:27" x14ac:dyDescent="0.3">
      <c r="B546" s="12"/>
      <c r="J546" s="13"/>
      <c r="T546" s="1">
        <f t="shared" si="65"/>
        <v>0</v>
      </c>
      <c r="U546" s="1">
        <f t="shared" si="66"/>
        <v>0</v>
      </c>
      <c r="V546" s="1">
        <f t="shared" si="67"/>
        <v>0</v>
      </c>
      <c r="W546" s="1">
        <f t="shared" si="68"/>
        <v>0</v>
      </c>
      <c r="X546" s="1">
        <f t="shared" si="69"/>
        <v>0</v>
      </c>
      <c r="Y546" s="1">
        <f t="shared" si="70"/>
        <v>0</v>
      </c>
      <c r="Z546" s="1">
        <f t="shared" si="71"/>
        <v>0</v>
      </c>
      <c r="AA546" s="1">
        <f t="shared" si="72"/>
        <v>0</v>
      </c>
    </row>
    <row r="547" spans="2:27" x14ac:dyDescent="0.3">
      <c r="B547" s="12"/>
      <c r="J547" s="13"/>
      <c r="T547" s="1">
        <f t="shared" si="65"/>
        <v>0</v>
      </c>
      <c r="U547" s="1">
        <f t="shared" si="66"/>
        <v>0</v>
      </c>
      <c r="V547" s="1">
        <f t="shared" si="67"/>
        <v>0</v>
      </c>
      <c r="W547" s="1">
        <f t="shared" si="68"/>
        <v>0</v>
      </c>
      <c r="X547" s="1">
        <f t="shared" si="69"/>
        <v>0</v>
      </c>
      <c r="Y547" s="1">
        <f t="shared" si="70"/>
        <v>0</v>
      </c>
      <c r="Z547" s="1">
        <f t="shared" si="71"/>
        <v>0</v>
      </c>
      <c r="AA547" s="1">
        <f t="shared" si="72"/>
        <v>0</v>
      </c>
    </row>
    <row r="548" spans="2:27" x14ac:dyDescent="0.3">
      <c r="B548" s="12"/>
      <c r="J548" s="13"/>
      <c r="T548" s="1">
        <f t="shared" si="65"/>
        <v>0</v>
      </c>
      <c r="U548" s="1">
        <f t="shared" si="66"/>
        <v>0</v>
      </c>
      <c r="V548" s="1">
        <f t="shared" si="67"/>
        <v>0</v>
      </c>
      <c r="W548" s="1">
        <f t="shared" si="68"/>
        <v>0</v>
      </c>
      <c r="X548" s="1">
        <f t="shared" si="69"/>
        <v>0</v>
      </c>
      <c r="Y548" s="1">
        <f t="shared" si="70"/>
        <v>0</v>
      </c>
      <c r="Z548" s="1">
        <f t="shared" si="71"/>
        <v>0</v>
      </c>
      <c r="AA548" s="1">
        <f t="shared" si="72"/>
        <v>0</v>
      </c>
    </row>
    <row r="549" spans="2:27" x14ac:dyDescent="0.3">
      <c r="B549" s="12"/>
      <c r="J549" s="13"/>
      <c r="T549" s="1">
        <f t="shared" si="65"/>
        <v>0</v>
      </c>
      <c r="U549" s="1">
        <f t="shared" si="66"/>
        <v>0</v>
      </c>
      <c r="V549" s="1">
        <f t="shared" si="67"/>
        <v>0</v>
      </c>
      <c r="W549" s="1">
        <f t="shared" si="68"/>
        <v>0</v>
      </c>
      <c r="X549" s="1">
        <f t="shared" si="69"/>
        <v>0</v>
      </c>
      <c r="Y549" s="1">
        <f t="shared" si="70"/>
        <v>0</v>
      </c>
      <c r="Z549" s="1">
        <f t="shared" si="71"/>
        <v>0</v>
      </c>
      <c r="AA549" s="1">
        <f t="shared" si="72"/>
        <v>0</v>
      </c>
    </row>
    <row r="550" spans="2:27" x14ac:dyDescent="0.3">
      <c r="B550" s="12"/>
      <c r="J550" s="13"/>
      <c r="T550" s="1">
        <f t="shared" si="65"/>
        <v>0</v>
      </c>
      <c r="U550" s="1">
        <f t="shared" si="66"/>
        <v>0</v>
      </c>
      <c r="V550" s="1">
        <f t="shared" si="67"/>
        <v>0</v>
      </c>
      <c r="W550" s="1">
        <f t="shared" si="68"/>
        <v>0</v>
      </c>
      <c r="X550" s="1">
        <f t="shared" si="69"/>
        <v>0</v>
      </c>
      <c r="Y550" s="1">
        <f t="shared" si="70"/>
        <v>0</v>
      </c>
      <c r="Z550" s="1">
        <f t="shared" si="71"/>
        <v>0</v>
      </c>
      <c r="AA550" s="1">
        <f t="shared" si="72"/>
        <v>0</v>
      </c>
    </row>
    <row r="551" spans="2:27" x14ac:dyDescent="0.3">
      <c r="B551" s="12"/>
      <c r="J551" s="13"/>
      <c r="T551" s="1">
        <f t="shared" si="65"/>
        <v>0</v>
      </c>
      <c r="U551" s="1">
        <f t="shared" si="66"/>
        <v>0</v>
      </c>
      <c r="V551" s="1">
        <f t="shared" si="67"/>
        <v>0</v>
      </c>
      <c r="W551" s="1">
        <f t="shared" si="68"/>
        <v>0</v>
      </c>
      <c r="X551" s="1">
        <f t="shared" si="69"/>
        <v>0</v>
      </c>
      <c r="Y551" s="1">
        <f t="shared" si="70"/>
        <v>0</v>
      </c>
      <c r="Z551" s="1">
        <f t="shared" si="71"/>
        <v>0</v>
      </c>
      <c r="AA551" s="1">
        <f t="shared" si="72"/>
        <v>0</v>
      </c>
    </row>
    <row r="552" spans="2:27" x14ac:dyDescent="0.3">
      <c r="B552" s="12"/>
      <c r="J552" s="13"/>
      <c r="T552" s="1">
        <f t="shared" si="65"/>
        <v>0</v>
      </c>
      <c r="U552" s="1">
        <f t="shared" si="66"/>
        <v>0</v>
      </c>
      <c r="V552" s="1">
        <f t="shared" si="67"/>
        <v>0</v>
      </c>
      <c r="W552" s="1">
        <f t="shared" si="68"/>
        <v>0</v>
      </c>
      <c r="X552" s="1">
        <f t="shared" si="69"/>
        <v>0</v>
      </c>
      <c r="Y552" s="1">
        <f t="shared" si="70"/>
        <v>0</v>
      </c>
      <c r="Z552" s="1">
        <f t="shared" si="71"/>
        <v>0</v>
      </c>
      <c r="AA552" s="1">
        <f t="shared" si="72"/>
        <v>0</v>
      </c>
    </row>
    <row r="553" spans="2:27" x14ac:dyDescent="0.3">
      <c r="B553" s="12"/>
      <c r="J553" s="13"/>
      <c r="T553" s="1">
        <f t="shared" si="65"/>
        <v>0</v>
      </c>
      <c r="U553" s="1">
        <f t="shared" si="66"/>
        <v>0</v>
      </c>
      <c r="V553" s="1">
        <f t="shared" si="67"/>
        <v>0</v>
      </c>
      <c r="W553" s="1">
        <f t="shared" si="68"/>
        <v>0</v>
      </c>
      <c r="X553" s="1">
        <f t="shared" si="69"/>
        <v>0</v>
      </c>
      <c r="Y553" s="1">
        <f t="shared" si="70"/>
        <v>0</v>
      </c>
      <c r="Z553" s="1">
        <f t="shared" si="71"/>
        <v>0</v>
      </c>
      <c r="AA553" s="1">
        <f t="shared" si="72"/>
        <v>0</v>
      </c>
    </row>
    <row r="554" spans="2:27" x14ac:dyDescent="0.3">
      <c r="B554" s="12"/>
      <c r="J554" s="13"/>
      <c r="T554" s="1">
        <f t="shared" si="65"/>
        <v>0</v>
      </c>
      <c r="U554" s="1">
        <f t="shared" si="66"/>
        <v>0</v>
      </c>
      <c r="V554" s="1">
        <f t="shared" si="67"/>
        <v>0</v>
      </c>
      <c r="W554" s="1">
        <f t="shared" si="68"/>
        <v>0</v>
      </c>
      <c r="X554" s="1">
        <f t="shared" si="69"/>
        <v>0</v>
      </c>
      <c r="Y554" s="1">
        <f t="shared" si="70"/>
        <v>0</v>
      </c>
      <c r="Z554" s="1">
        <f t="shared" si="71"/>
        <v>0</v>
      </c>
      <c r="AA554" s="1">
        <f t="shared" si="72"/>
        <v>0</v>
      </c>
    </row>
    <row r="555" spans="2:27" x14ac:dyDescent="0.3">
      <c r="B555" s="12"/>
      <c r="J555" s="13"/>
      <c r="T555" s="1">
        <f t="shared" si="65"/>
        <v>0</v>
      </c>
      <c r="U555" s="1">
        <f t="shared" si="66"/>
        <v>0</v>
      </c>
      <c r="V555" s="1">
        <f t="shared" si="67"/>
        <v>0</v>
      </c>
      <c r="W555" s="1">
        <f t="shared" si="68"/>
        <v>0</v>
      </c>
      <c r="X555" s="1">
        <f t="shared" si="69"/>
        <v>0</v>
      </c>
      <c r="Y555" s="1">
        <f t="shared" si="70"/>
        <v>0</v>
      </c>
      <c r="Z555" s="1">
        <f t="shared" si="71"/>
        <v>0</v>
      </c>
      <c r="AA555" s="1">
        <f t="shared" si="72"/>
        <v>0</v>
      </c>
    </row>
    <row r="556" spans="2:27" x14ac:dyDescent="0.3">
      <c r="B556" s="12"/>
      <c r="J556" s="13"/>
      <c r="T556" s="1">
        <f t="shared" si="65"/>
        <v>0</v>
      </c>
      <c r="U556" s="1">
        <f t="shared" si="66"/>
        <v>0</v>
      </c>
      <c r="V556" s="1">
        <f t="shared" si="67"/>
        <v>0</v>
      </c>
      <c r="W556" s="1">
        <f t="shared" si="68"/>
        <v>0</v>
      </c>
      <c r="X556" s="1">
        <f t="shared" si="69"/>
        <v>0</v>
      </c>
      <c r="Y556" s="1">
        <f t="shared" si="70"/>
        <v>0</v>
      </c>
      <c r="Z556" s="1">
        <f t="shared" si="71"/>
        <v>0</v>
      </c>
      <c r="AA556" s="1">
        <f t="shared" si="72"/>
        <v>0</v>
      </c>
    </row>
    <row r="557" spans="2:27" x14ac:dyDescent="0.3">
      <c r="B557" s="12"/>
      <c r="J557" s="13"/>
      <c r="T557" s="1">
        <f t="shared" si="65"/>
        <v>0</v>
      </c>
      <c r="U557" s="1">
        <f t="shared" si="66"/>
        <v>0</v>
      </c>
      <c r="V557" s="1">
        <f t="shared" si="67"/>
        <v>0</v>
      </c>
      <c r="W557" s="1">
        <f t="shared" si="68"/>
        <v>0</v>
      </c>
      <c r="X557" s="1">
        <f t="shared" si="69"/>
        <v>0</v>
      </c>
      <c r="Y557" s="1">
        <f t="shared" si="70"/>
        <v>0</v>
      </c>
      <c r="Z557" s="1">
        <f t="shared" si="71"/>
        <v>0</v>
      </c>
      <c r="AA557" s="1">
        <f t="shared" si="72"/>
        <v>0</v>
      </c>
    </row>
    <row r="558" spans="2:27" x14ac:dyDescent="0.3">
      <c r="B558" s="12"/>
      <c r="J558" s="13"/>
      <c r="T558" s="1">
        <f t="shared" si="65"/>
        <v>0</v>
      </c>
      <c r="U558" s="1">
        <f t="shared" si="66"/>
        <v>0</v>
      </c>
      <c r="V558" s="1">
        <f t="shared" si="67"/>
        <v>0</v>
      </c>
      <c r="W558" s="1">
        <f t="shared" si="68"/>
        <v>0</v>
      </c>
      <c r="X558" s="1">
        <f t="shared" si="69"/>
        <v>0</v>
      </c>
      <c r="Y558" s="1">
        <f t="shared" si="70"/>
        <v>0</v>
      </c>
      <c r="Z558" s="1">
        <f t="shared" si="71"/>
        <v>0</v>
      </c>
      <c r="AA558" s="1">
        <f t="shared" si="72"/>
        <v>0</v>
      </c>
    </row>
    <row r="559" spans="2:27" x14ac:dyDescent="0.3">
      <c r="B559" s="12"/>
      <c r="J559" s="13"/>
      <c r="T559" s="1">
        <f t="shared" si="65"/>
        <v>0</v>
      </c>
      <c r="U559" s="1">
        <f t="shared" si="66"/>
        <v>0</v>
      </c>
      <c r="V559" s="1">
        <f t="shared" si="67"/>
        <v>0</v>
      </c>
      <c r="W559" s="1">
        <f t="shared" si="68"/>
        <v>0</v>
      </c>
      <c r="X559" s="1">
        <f t="shared" si="69"/>
        <v>0</v>
      </c>
      <c r="Y559" s="1">
        <f t="shared" si="70"/>
        <v>0</v>
      </c>
      <c r="Z559" s="1">
        <f t="shared" si="71"/>
        <v>0</v>
      </c>
      <c r="AA559" s="1">
        <f t="shared" si="72"/>
        <v>0</v>
      </c>
    </row>
    <row r="560" spans="2:27" x14ac:dyDescent="0.3">
      <c r="B560" s="12"/>
      <c r="J560" s="13"/>
      <c r="T560" s="1">
        <f t="shared" si="65"/>
        <v>0</v>
      </c>
      <c r="U560" s="1">
        <f t="shared" si="66"/>
        <v>0</v>
      </c>
      <c r="V560" s="1">
        <f t="shared" si="67"/>
        <v>0</v>
      </c>
      <c r="W560" s="1">
        <f t="shared" si="68"/>
        <v>0</v>
      </c>
      <c r="X560" s="1">
        <f t="shared" si="69"/>
        <v>0</v>
      </c>
      <c r="Y560" s="1">
        <f t="shared" si="70"/>
        <v>0</v>
      </c>
      <c r="Z560" s="1">
        <f t="shared" si="71"/>
        <v>0</v>
      </c>
      <c r="AA560" s="1">
        <f t="shared" si="72"/>
        <v>0</v>
      </c>
    </row>
    <row r="561" spans="2:27" x14ac:dyDescent="0.3">
      <c r="B561" s="12"/>
      <c r="J561" s="13"/>
      <c r="T561" s="1">
        <f t="shared" si="65"/>
        <v>0</v>
      </c>
      <c r="U561" s="1">
        <f t="shared" si="66"/>
        <v>0</v>
      </c>
      <c r="V561" s="1">
        <f t="shared" si="67"/>
        <v>0</v>
      </c>
      <c r="W561" s="1">
        <f t="shared" si="68"/>
        <v>0</v>
      </c>
      <c r="X561" s="1">
        <f t="shared" si="69"/>
        <v>0</v>
      </c>
      <c r="Y561" s="1">
        <f t="shared" si="70"/>
        <v>0</v>
      </c>
      <c r="Z561" s="1">
        <f t="shared" si="71"/>
        <v>0</v>
      </c>
      <c r="AA561" s="1">
        <f t="shared" si="72"/>
        <v>0</v>
      </c>
    </row>
    <row r="562" spans="2:27" x14ac:dyDescent="0.3">
      <c r="B562" s="12"/>
      <c r="J562" s="13"/>
      <c r="T562" s="1">
        <f t="shared" si="65"/>
        <v>0</v>
      </c>
      <c r="U562" s="1">
        <f t="shared" si="66"/>
        <v>0</v>
      </c>
      <c r="V562" s="1">
        <f t="shared" si="67"/>
        <v>0</v>
      </c>
      <c r="W562" s="1">
        <f t="shared" si="68"/>
        <v>0</v>
      </c>
      <c r="X562" s="1">
        <f t="shared" si="69"/>
        <v>0</v>
      </c>
      <c r="Y562" s="1">
        <f t="shared" si="70"/>
        <v>0</v>
      </c>
      <c r="Z562" s="1">
        <f t="shared" si="71"/>
        <v>0</v>
      </c>
      <c r="AA562" s="1">
        <f t="shared" si="72"/>
        <v>0</v>
      </c>
    </row>
    <row r="563" spans="2:27" x14ac:dyDescent="0.3">
      <c r="B563" s="12"/>
      <c r="J563" s="13"/>
      <c r="T563" s="1">
        <f t="shared" si="65"/>
        <v>0</v>
      </c>
      <c r="U563" s="1">
        <f t="shared" si="66"/>
        <v>0</v>
      </c>
      <c r="V563" s="1">
        <f t="shared" si="67"/>
        <v>0</v>
      </c>
      <c r="W563" s="1">
        <f t="shared" si="68"/>
        <v>0</v>
      </c>
      <c r="X563" s="1">
        <f t="shared" si="69"/>
        <v>0</v>
      </c>
      <c r="Y563" s="1">
        <f t="shared" si="70"/>
        <v>0</v>
      </c>
      <c r="Z563" s="1">
        <f t="shared" si="71"/>
        <v>0</v>
      </c>
      <c r="AA563" s="1">
        <f t="shared" si="72"/>
        <v>0</v>
      </c>
    </row>
    <row r="564" spans="2:27" x14ac:dyDescent="0.3">
      <c r="B564" s="12"/>
      <c r="J564" s="13"/>
      <c r="T564" s="1">
        <f t="shared" si="65"/>
        <v>0</v>
      </c>
      <c r="U564" s="1">
        <f t="shared" si="66"/>
        <v>0</v>
      </c>
      <c r="V564" s="1">
        <f t="shared" si="67"/>
        <v>0</v>
      </c>
      <c r="W564" s="1">
        <f t="shared" si="68"/>
        <v>0</v>
      </c>
      <c r="X564" s="1">
        <f t="shared" si="69"/>
        <v>0</v>
      </c>
      <c r="Y564" s="1">
        <f t="shared" si="70"/>
        <v>0</v>
      </c>
      <c r="Z564" s="1">
        <f t="shared" si="71"/>
        <v>0</v>
      </c>
      <c r="AA564" s="1">
        <f t="shared" si="72"/>
        <v>0</v>
      </c>
    </row>
    <row r="565" spans="2:27" x14ac:dyDescent="0.3">
      <c r="B565" s="12"/>
      <c r="J565" s="13"/>
      <c r="T565" s="1">
        <f t="shared" si="65"/>
        <v>0</v>
      </c>
      <c r="U565" s="1">
        <f t="shared" si="66"/>
        <v>0</v>
      </c>
      <c r="V565" s="1">
        <f t="shared" si="67"/>
        <v>0</v>
      </c>
      <c r="W565" s="1">
        <f t="shared" si="68"/>
        <v>0</v>
      </c>
      <c r="X565" s="1">
        <f t="shared" si="69"/>
        <v>0</v>
      </c>
      <c r="Y565" s="1">
        <f t="shared" si="70"/>
        <v>0</v>
      </c>
      <c r="Z565" s="1">
        <f t="shared" si="71"/>
        <v>0</v>
      </c>
      <c r="AA565" s="1">
        <f t="shared" si="72"/>
        <v>0</v>
      </c>
    </row>
    <row r="566" spans="2:27" x14ac:dyDescent="0.3">
      <c r="B566" s="12"/>
      <c r="J566" s="13"/>
      <c r="T566" s="1">
        <f t="shared" si="65"/>
        <v>0</v>
      </c>
      <c r="U566" s="1">
        <f t="shared" si="66"/>
        <v>0</v>
      </c>
      <c r="V566" s="1">
        <f t="shared" si="67"/>
        <v>0</v>
      </c>
      <c r="W566" s="1">
        <f t="shared" si="68"/>
        <v>0</v>
      </c>
      <c r="X566" s="1">
        <f t="shared" si="69"/>
        <v>0</v>
      </c>
      <c r="Y566" s="1">
        <f t="shared" si="70"/>
        <v>0</v>
      </c>
      <c r="Z566" s="1">
        <f t="shared" si="71"/>
        <v>0</v>
      </c>
      <c r="AA566" s="1">
        <f t="shared" si="72"/>
        <v>0</v>
      </c>
    </row>
    <row r="567" spans="2:27" x14ac:dyDescent="0.3">
      <c r="B567" s="12"/>
      <c r="I567" s="14"/>
      <c r="J567" s="13"/>
      <c r="T567" s="1">
        <f t="shared" si="65"/>
        <v>0</v>
      </c>
      <c r="U567" s="1">
        <f t="shared" si="66"/>
        <v>0</v>
      </c>
      <c r="V567" s="1">
        <f t="shared" si="67"/>
        <v>0</v>
      </c>
      <c r="W567" s="1">
        <f t="shared" si="68"/>
        <v>0</v>
      </c>
      <c r="X567" s="1">
        <f t="shared" si="69"/>
        <v>0</v>
      </c>
      <c r="Y567" s="1">
        <f t="shared" si="70"/>
        <v>0</v>
      </c>
      <c r="Z567" s="1">
        <f t="shared" si="71"/>
        <v>0</v>
      </c>
      <c r="AA567" s="1">
        <f t="shared" si="72"/>
        <v>0</v>
      </c>
    </row>
    <row r="568" spans="2:27" x14ac:dyDescent="0.3">
      <c r="B568" s="12"/>
      <c r="I568" s="14"/>
      <c r="J568" s="13"/>
      <c r="T568" s="1">
        <f t="shared" si="65"/>
        <v>0</v>
      </c>
      <c r="U568" s="1">
        <f t="shared" si="66"/>
        <v>0</v>
      </c>
      <c r="V568" s="1">
        <f t="shared" si="67"/>
        <v>0</v>
      </c>
      <c r="W568" s="1">
        <f t="shared" si="68"/>
        <v>0</v>
      </c>
      <c r="X568" s="1">
        <f t="shared" si="69"/>
        <v>0</v>
      </c>
      <c r="Y568" s="1">
        <f t="shared" si="70"/>
        <v>0</v>
      </c>
      <c r="Z568" s="1">
        <f t="shared" si="71"/>
        <v>0</v>
      </c>
      <c r="AA568" s="1">
        <f t="shared" si="72"/>
        <v>0</v>
      </c>
    </row>
    <row r="569" spans="2:27" x14ac:dyDescent="0.3">
      <c r="B569" s="12"/>
      <c r="I569" s="14"/>
      <c r="J569" s="13"/>
      <c r="T569" s="1">
        <f t="shared" si="65"/>
        <v>0</v>
      </c>
      <c r="U569" s="1">
        <f t="shared" si="66"/>
        <v>0</v>
      </c>
      <c r="V569" s="1">
        <f t="shared" si="67"/>
        <v>0</v>
      </c>
      <c r="W569" s="1">
        <f t="shared" si="68"/>
        <v>0</v>
      </c>
      <c r="X569" s="1">
        <f t="shared" si="69"/>
        <v>0</v>
      </c>
      <c r="Y569" s="1">
        <f t="shared" si="70"/>
        <v>0</v>
      </c>
      <c r="Z569" s="1">
        <f t="shared" si="71"/>
        <v>0</v>
      </c>
      <c r="AA569" s="1">
        <f t="shared" si="72"/>
        <v>0</v>
      </c>
    </row>
    <row r="570" spans="2:27" x14ac:dyDescent="0.3">
      <c r="B570" s="12"/>
      <c r="I570" s="14"/>
      <c r="J570" s="13"/>
      <c r="T570" s="1">
        <f t="shared" si="65"/>
        <v>0</v>
      </c>
      <c r="U570" s="1">
        <f t="shared" si="66"/>
        <v>0</v>
      </c>
      <c r="V570" s="1">
        <f t="shared" si="67"/>
        <v>0</v>
      </c>
      <c r="W570" s="1">
        <f t="shared" si="68"/>
        <v>0</v>
      </c>
      <c r="X570" s="1">
        <f t="shared" si="69"/>
        <v>0</v>
      </c>
      <c r="Y570" s="1">
        <f t="shared" si="70"/>
        <v>0</v>
      </c>
      <c r="Z570" s="1">
        <f t="shared" si="71"/>
        <v>0</v>
      </c>
      <c r="AA570" s="1">
        <f t="shared" si="72"/>
        <v>0</v>
      </c>
    </row>
    <row r="571" spans="2:27" x14ac:dyDescent="0.3">
      <c r="B571" s="12"/>
      <c r="I571" s="14"/>
      <c r="J571" s="13"/>
      <c r="T571" s="1">
        <f t="shared" si="65"/>
        <v>0</v>
      </c>
      <c r="U571" s="1">
        <f t="shared" si="66"/>
        <v>0</v>
      </c>
      <c r="V571" s="1">
        <f t="shared" si="67"/>
        <v>0</v>
      </c>
      <c r="W571" s="1">
        <f t="shared" si="68"/>
        <v>0</v>
      </c>
      <c r="X571" s="1">
        <f t="shared" si="69"/>
        <v>0</v>
      </c>
      <c r="Y571" s="1">
        <f t="shared" si="70"/>
        <v>0</v>
      </c>
      <c r="Z571" s="1">
        <f t="shared" si="71"/>
        <v>0</v>
      </c>
      <c r="AA571" s="1">
        <f t="shared" si="72"/>
        <v>0</v>
      </c>
    </row>
    <row r="572" spans="2:27" x14ac:dyDescent="0.3">
      <c r="B572" s="12"/>
      <c r="I572" s="14"/>
      <c r="J572" s="13"/>
      <c r="T572" s="1">
        <f t="shared" si="65"/>
        <v>0</v>
      </c>
      <c r="U572" s="1">
        <f t="shared" si="66"/>
        <v>0</v>
      </c>
      <c r="V572" s="1">
        <f t="shared" si="67"/>
        <v>0</v>
      </c>
      <c r="W572" s="1">
        <f t="shared" si="68"/>
        <v>0</v>
      </c>
      <c r="X572" s="1">
        <f t="shared" si="69"/>
        <v>0</v>
      </c>
      <c r="Y572" s="1">
        <f t="shared" si="70"/>
        <v>0</v>
      </c>
      <c r="Z572" s="1">
        <f t="shared" si="71"/>
        <v>0</v>
      </c>
      <c r="AA572" s="1">
        <f t="shared" si="72"/>
        <v>0</v>
      </c>
    </row>
    <row r="573" spans="2:27" x14ac:dyDescent="0.3">
      <c r="B573" s="12"/>
      <c r="I573" s="14"/>
      <c r="J573" s="13"/>
      <c r="T573" s="1">
        <f t="shared" si="65"/>
        <v>0</v>
      </c>
      <c r="U573" s="1">
        <f t="shared" si="66"/>
        <v>0</v>
      </c>
      <c r="V573" s="1">
        <f t="shared" si="67"/>
        <v>0</v>
      </c>
      <c r="W573" s="1">
        <f t="shared" si="68"/>
        <v>0</v>
      </c>
      <c r="X573" s="1">
        <f t="shared" si="69"/>
        <v>0</v>
      </c>
      <c r="Y573" s="1">
        <f t="shared" si="70"/>
        <v>0</v>
      </c>
      <c r="Z573" s="1">
        <f t="shared" si="71"/>
        <v>0</v>
      </c>
      <c r="AA573" s="1">
        <f t="shared" si="72"/>
        <v>0</v>
      </c>
    </row>
    <row r="574" spans="2:27" x14ac:dyDescent="0.3">
      <c r="B574" s="12"/>
      <c r="I574" s="14"/>
      <c r="J574" s="13"/>
      <c r="T574" s="1">
        <f t="shared" si="65"/>
        <v>0</v>
      </c>
      <c r="U574" s="1">
        <f t="shared" si="66"/>
        <v>0</v>
      </c>
      <c r="V574" s="1">
        <f t="shared" si="67"/>
        <v>0</v>
      </c>
      <c r="W574" s="1">
        <f t="shared" si="68"/>
        <v>0</v>
      </c>
      <c r="X574" s="1">
        <f t="shared" si="69"/>
        <v>0</v>
      </c>
      <c r="Y574" s="1">
        <f t="shared" si="70"/>
        <v>0</v>
      </c>
      <c r="Z574" s="1">
        <f t="shared" si="71"/>
        <v>0</v>
      </c>
      <c r="AA574" s="1">
        <f t="shared" si="72"/>
        <v>0</v>
      </c>
    </row>
    <row r="575" spans="2:27" x14ac:dyDescent="0.3">
      <c r="B575" s="12"/>
      <c r="I575" s="14"/>
      <c r="J575" s="13"/>
      <c r="T575" s="1">
        <f t="shared" si="65"/>
        <v>0</v>
      </c>
      <c r="U575" s="1">
        <f t="shared" si="66"/>
        <v>0</v>
      </c>
      <c r="V575" s="1">
        <f t="shared" si="67"/>
        <v>0</v>
      </c>
      <c r="W575" s="1">
        <f t="shared" si="68"/>
        <v>0</v>
      </c>
      <c r="X575" s="1">
        <f t="shared" si="69"/>
        <v>0</v>
      </c>
      <c r="Y575" s="1">
        <f t="shared" si="70"/>
        <v>0</v>
      </c>
      <c r="Z575" s="1">
        <f t="shared" si="71"/>
        <v>0</v>
      </c>
      <c r="AA575" s="1">
        <f t="shared" si="72"/>
        <v>0</v>
      </c>
    </row>
    <row r="576" spans="2:27" x14ac:dyDescent="0.3">
      <c r="B576" s="12"/>
      <c r="I576" s="14"/>
      <c r="J576" s="13"/>
      <c r="T576" s="1">
        <f t="shared" si="65"/>
        <v>0</v>
      </c>
      <c r="U576" s="1">
        <f t="shared" si="66"/>
        <v>0</v>
      </c>
      <c r="V576" s="1">
        <f t="shared" si="67"/>
        <v>0</v>
      </c>
      <c r="W576" s="1">
        <f t="shared" si="68"/>
        <v>0</v>
      </c>
      <c r="X576" s="1">
        <f t="shared" si="69"/>
        <v>0</v>
      </c>
      <c r="Y576" s="1">
        <f t="shared" si="70"/>
        <v>0</v>
      </c>
      <c r="Z576" s="1">
        <f t="shared" si="71"/>
        <v>0</v>
      </c>
      <c r="AA576" s="1">
        <f t="shared" si="72"/>
        <v>0</v>
      </c>
    </row>
    <row r="577" spans="2:27" x14ac:dyDescent="0.3">
      <c r="B577" s="12"/>
      <c r="I577" s="14"/>
      <c r="J577" s="13"/>
      <c r="T577" s="1">
        <f t="shared" si="65"/>
        <v>0</v>
      </c>
      <c r="U577" s="1">
        <f t="shared" si="66"/>
        <v>0</v>
      </c>
      <c r="V577" s="1">
        <f t="shared" si="67"/>
        <v>0</v>
      </c>
      <c r="W577" s="1">
        <f t="shared" si="68"/>
        <v>0</v>
      </c>
      <c r="X577" s="1">
        <f t="shared" si="69"/>
        <v>0</v>
      </c>
      <c r="Y577" s="1">
        <f t="shared" si="70"/>
        <v>0</v>
      </c>
      <c r="Z577" s="1">
        <f t="shared" si="71"/>
        <v>0</v>
      </c>
      <c r="AA577" s="1">
        <f t="shared" si="72"/>
        <v>0</v>
      </c>
    </row>
    <row r="578" spans="2:27" x14ac:dyDescent="0.3">
      <c r="B578" s="12"/>
      <c r="I578" s="14"/>
      <c r="J578" s="13"/>
      <c r="T578" s="1">
        <f t="shared" si="65"/>
        <v>0</v>
      </c>
      <c r="U578" s="1">
        <f t="shared" si="66"/>
        <v>0</v>
      </c>
      <c r="V578" s="1">
        <f t="shared" si="67"/>
        <v>0</v>
      </c>
      <c r="W578" s="1">
        <f t="shared" si="68"/>
        <v>0</v>
      </c>
      <c r="X578" s="1">
        <f t="shared" si="69"/>
        <v>0</v>
      </c>
      <c r="Y578" s="1">
        <f t="shared" si="70"/>
        <v>0</v>
      </c>
      <c r="Z578" s="1">
        <f t="shared" si="71"/>
        <v>0</v>
      </c>
      <c r="AA578" s="1">
        <f t="shared" si="72"/>
        <v>0</v>
      </c>
    </row>
    <row r="579" spans="2:27" x14ac:dyDescent="0.3">
      <c r="B579" s="12"/>
      <c r="I579" s="14"/>
      <c r="J579" s="13"/>
      <c r="T579" s="1">
        <f t="shared" si="65"/>
        <v>0</v>
      </c>
      <c r="U579" s="1">
        <f t="shared" si="66"/>
        <v>0</v>
      </c>
      <c r="V579" s="1">
        <f t="shared" si="67"/>
        <v>0</v>
      </c>
      <c r="W579" s="1">
        <f t="shared" si="68"/>
        <v>0</v>
      </c>
      <c r="X579" s="1">
        <f t="shared" si="69"/>
        <v>0</v>
      </c>
      <c r="Y579" s="1">
        <f t="shared" si="70"/>
        <v>0</v>
      </c>
      <c r="Z579" s="1">
        <f t="shared" si="71"/>
        <v>0</v>
      </c>
      <c r="AA579" s="1">
        <f t="shared" si="72"/>
        <v>0</v>
      </c>
    </row>
    <row r="580" spans="2:27" x14ac:dyDescent="0.3">
      <c r="B580" s="12"/>
      <c r="I580" s="14"/>
      <c r="J580" s="13"/>
      <c r="T580" s="1">
        <f t="shared" si="65"/>
        <v>0</v>
      </c>
      <c r="U580" s="1">
        <f t="shared" si="66"/>
        <v>0</v>
      </c>
      <c r="V580" s="1">
        <f t="shared" si="67"/>
        <v>0</v>
      </c>
      <c r="W580" s="1">
        <f t="shared" si="68"/>
        <v>0</v>
      </c>
      <c r="X580" s="1">
        <f t="shared" si="69"/>
        <v>0</v>
      </c>
      <c r="Y580" s="1">
        <f t="shared" si="70"/>
        <v>0</v>
      </c>
      <c r="Z580" s="1">
        <f t="shared" si="71"/>
        <v>0</v>
      </c>
      <c r="AA580" s="1">
        <f t="shared" si="72"/>
        <v>0</v>
      </c>
    </row>
    <row r="581" spans="2:27" x14ac:dyDescent="0.3">
      <c r="B581" s="12"/>
      <c r="I581" s="14"/>
      <c r="J581" s="13"/>
      <c r="T581" s="1">
        <f t="shared" si="65"/>
        <v>0</v>
      </c>
      <c r="U581" s="1">
        <f t="shared" si="66"/>
        <v>0</v>
      </c>
      <c r="V581" s="1">
        <f t="shared" si="67"/>
        <v>0</v>
      </c>
      <c r="W581" s="1">
        <f t="shared" si="68"/>
        <v>0</v>
      </c>
      <c r="X581" s="1">
        <f t="shared" si="69"/>
        <v>0</v>
      </c>
      <c r="Y581" s="1">
        <f t="shared" si="70"/>
        <v>0</v>
      </c>
      <c r="Z581" s="1">
        <f t="shared" si="71"/>
        <v>0</v>
      </c>
      <c r="AA581" s="1">
        <f t="shared" si="72"/>
        <v>0</v>
      </c>
    </row>
    <row r="582" spans="2:27" x14ac:dyDescent="0.3">
      <c r="B582" s="12"/>
      <c r="I582" s="14"/>
      <c r="J582" s="13"/>
      <c r="T582" s="1">
        <f t="shared" si="65"/>
        <v>0</v>
      </c>
      <c r="U582" s="1">
        <f t="shared" si="66"/>
        <v>0</v>
      </c>
      <c r="V582" s="1">
        <f t="shared" si="67"/>
        <v>0</v>
      </c>
      <c r="W582" s="1">
        <f t="shared" si="68"/>
        <v>0</v>
      </c>
      <c r="X582" s="1">
        <f t="shared" si="69"/>
        <v>0</v>
      </c>
      <c r="Y582" s="1">
        <f t="shared" si="70"/>
        <v>0</v>
      </c>
      <c r="Z582" s="1">
        <f t="shared" si="71"/>
        <v>0</v>
      </c>
      <c r="AA582" s="1">
        <f t="shared" si="72"/>
        <v>0</v>
      </c>
    </row>
    <row r="583" spans="2:27" x14ac:dyDescent="0.3">
      <c r="B583" s="12"/>
      <c r="I583" s="14"/>
      <c r="J583" s="13"/>
      <c r="T583" s="1">
        <f t="shared" ref="T583:T646" si="73">IF(AND(G583="-"),0,G583*F583)</f>
        <v>0</v>
      </c>
      <c r="U583" s="1">
        <f t="shared" ref="U583:U646" si="74">IF(AND(O583="-"),0,O583*N583)</f>
        <v>0</v>
      </c>
      <c r="V583" s="1">
        <f t="shared" ref="V583:V646" si="75">IFERROR(C583*H583,0)</f>
        <v>0</v>
      </c>
      <c r="W583" s="1">
        <f t="shared" ref="W583:W646" si="76">IFERROR(K583*P583,0)</f>
        <v>0</v>
      </c>
      <c r="X583" s="1">
        <f t="shared" ref="X583:X646" si="77">IFERROR(G583*1,0)</f>
        <v>0</v>
      </c>
      <c r="Y583" s="1">
        <f t="shared" ref="Y583:Y646" si="78">IFERROR(O583*1,0)</f>
        <v>0</v>
      </c>
      <c r="Z583" s="1">
        <f t="shared" ref="Z583:Z646" si="79">IFERROR(H583*1,0)</f>
        <v>0</v>
      </c>
      <c r="AA583" s="1">
        <f t="shared" ref="AA583:AA646" si="80">IFERROR(P583*1,0)</f>
        <v>0</v>
      </c>
    </row>
    <row r="584" spans="2:27" x14ac:dyDescent="0.3">
      <c r="B584" s="12"/>
      <c r="I584" s="14"/>
      <c r="J584" s="13"/>
      <c r="T584" s="1">
        <f t="shared" si="73"/>
        <v>0</v>
      </c>
      <c r="U584" s="1">
        <f t="shared" si="74"/>
        <v>0</v>
      </c>
      <c r="V584" s="1">
        <f t="shared" si="75"/>
        <v>0</v>
      </c>
      <c r="W584" s="1">
        <f t="shared" si="76"/>
        <v>0</v>
      </c>
      <c r="X584" s="1">
        <f t="shared" si="77"/>
        <v>0</v>
      </c>
      <c r="Y584" s="1">
        <f t="shared" si="78"/>
        <v>0</v>
      </c>
      <c r="Z584" s="1">
        <f t="shared" si="79"/>
        <v>0</v>
      </c>
      <c r="AA584" s="1">
        <f t="shared" si="80"/>
        <v>0</v>
      </c>
    </row>
    <row r="585" spans="2:27" x14ac:dyDescent="0.3">
      <c r="B585" s="12"/>
      <c r="I585" s="14"/>
      <c r="J585" s="13"/>
      <c r="T585" s="1">
        <f t="shared" si="73"/>
        <v>0</v>
      </c>
      <c r="U585" s="1">
        <f t="shared" si="74"/>
        <v>0</v>
      </c>
      <c r="V585" s="1">
        <f t="shared" si="75"/>
        <v>0</v>
      </c>
      <c r="W585" s="1">
        <f t="shared" si="76"/>
        <v>0</v>
      </c>
      <c r="X585" s="1">
        <f t="shared" si="77"/>
        <v>0</v>
      </c>
      <c r="Y585" s="1">
        <f t="shared" si="78"/>
        <v>0</v>
      </c>
      <c r="Z585" s="1">
        <f t="shared" si="79"/>
        <v>0</v>
      </c>
      <c r="AA585" s="1">
        <f t="shared" si="80"/>
        <v>0</v>
      </c>
    </row>
    <row r="586" spans="2:27" x14ac:dyDescent="0.3">
      <c r="B586" s="12"/>
      <c r="I586" s="14"/>
      <c r="J586" s="13"/>
      <c r="T586" s="1">
        <f t="shared" si="73"/>
        <v>0</v>
      </c>
      <c r="U586" s="1">
        <f t="shared" si="74"/>
        <v>0</v>
      </c>
      <c r="V586" s="1">
        <f t="shared" si="75"/>
        <v>0</v>
      </c>
      <c r="W586" s="1">
        <f t="shared" si="76"/>
        <v>0</v>
      </c>
      <c r="X586" s="1">
        <f t="shared" si="77"/>
        <v>0</v>
      </c>
      <c r="Y586" s="1">
        <f t="shared" si="78"/>
        <v>0</v>
      </c>
      <c r="Z586" s="1">
        <f t="shared" si="79"/>
        <v>0</v>
      </c>
      <c r="AA586" s="1">
        <f t="shared" si="80"/>
        <v>0</v>
      </c>
    </row>
    <row r="587" spans="2:27" x14ac:dyDescent="0.3">
      <c r="B587" s="12"/>
      <c r="I587" s="14"/>
      <c r="J587" s="13"/>
      <c r="T587" s="1">
        <f t="shared" si="73"/>
        <v>0</v>
      </c>
      <c r="U587" s="1">
        <f t="shared" si="74"/>
        <v>0</v>
      </c>
      <c r="V587" s="1">
        <f t="shared" si="75"/>
        <v>0</v>
      </c>
      <c r="W587" s="1">
        <f t="shared" si="76"/>
        <v>0</v>
      </c>
      <c r="X587" s="1">
        <f t="shared" si="77"/>
        <v>0</v>
      </c>
      <c r="Y587" s="1">
        <f t="shared" si="78"/>
        <v>0</v>
      </c>
      <c r="Z587" s="1">
        <f t="shared" si="79"/>
        <v>0</v>
      </c>
      <c r="AA587" s="1">
        <f t="shared" si="80"/>
        <v>0</v>
      </c>
    </row>
    <row r="588" spans="2:27" x14ac:dyDescent="0.3">
      <c r="B588" s="12"/>
      <c r="I588" s="14"/>
      <c r="J588" s="13"/>
      <c r="T588" s="1">
        <f t="shared" si="73"/>
        <v>0</v>
      </c>
      <c r="U588" s="1">
        <f t="shared" si="74"/>
        <v>0</v>
      </c>
      <c r="V588" s="1">
        <f t="shared" si="75"/>
        <v>0</v>
      </c>
      <c r="W588" s="1">
        <f t="shared" si="76"/>
        <v>0</v>
      </c>
      <c r="X588" s="1">
        <f t="shared" si="77"/>
        <v>0</v>
      </c>
      <c r="Y588" s="1">
        <f t="shared" si="78"/>
        <v>0</v>
      </c>
      <c r="Z588" s="1">
        <f t="shared" si="79"/>
        <v>0</v>
      </c>
      <c r="AA588" s="1">
        <f t="shared" si="80"/>
        <v>0</v>
      </c>
    </row>
    <row r="589" spans="2:27" x14ac:dyDescent="0.3">
      <c r="B589" s="12"/>
      <c r="I589" s="14"/>
      <c r="J589" s="13"/>
      <c r="T589" s="1">
        <f t="shared" si="73"/>
        <v>0</v>
      </c>
      <c r="U589" s="1">
        <f t="shared" si="74"/>
        <v>0</v>
      </c>
      <c r="V589" s="1">
        <f t="shared" si="75"/>
        <v>0</v>
      </c>
      <c r="W589" s="1">
        <f t="shared" si="76"/>
        <v>0</v>
      </c>
      <c r="X589" s="1">
        <f t="shared" si="77"/>
        <v>0</v>
      </c>
      <c r="Y589" s="1">
        <f t="shared" si="78"/>
        <v>0</v>
      </c>
      <c r="Z589" s="1">
        <f t="shared" si="79"/>
        <v>0</v>
      </c>
      <c r="AA589" s="1">
        <f t="shared" si="80"/>
        <v>0</v>
      </c>
    </row>
    <row r="590" spans="2:27" x14ac:dyDescent="0.3">
      <c r="B590" s="12"/>
      <c r="I590" s="14"/>
      <c r="J590" s="13"/>
      <c r="T590" s="1">
        <f t="shared" si="73"/>
        <v>0</v>
      </c>
      <c r="U590" s="1">
        <f t="shared" si="74"/>
        <v>0</v>
      </c>
      <c r="V590" s="1">
        <f t="shared" si="75"/>
        <v>0</v>
      </c>
      <c r="W590" s="1">
        <f t="shared" si="76"/>
        <v>0</v>
      </c>
      <c r="X590" s="1">
        <f t="shared" si="77"/>
        <v>0</v>
      </c>
      <c r="Y590" s="1">
        <f t="shared" si="78"/>
        <v>0</v>
      </c>
      <c r="Z590" s="1">
        <f t="shared" si="79"/>
        <v>0</v>
      </c>
      <c r="AA590" s="1">
        <f t="shared" si="80"/>
        <v>0</v>
      </c>
    </row>
    <row r="591" spans="2:27" x14ac:dyDescent="0.3">
      <c r="B591" s="12"/>
      <c r="I591" s="14"/>
      <c r="J591" s="13"/>
      <c r="T591" s="1">
        <f t="shared" si="73"/>
        <v>0</v>
      </c>
      <c r="U591" s="1">
        <f t="shared" si="74"/>
        <v>0</v>
      </c>
      <c r="V591" s="1">
        <f t="shared" si="75"/>
        <v>0</v>
      </c>
      <c r="W591" s="1">
        <f t="shared" si="76"/>
        <v>0</v>
      </c>
      <c r="X591" s="1">
        <f t="shared" si="77"/>
        <v>0</v>
      </c>
      <c r="Y591" s="1">
        <f t="shared" si="78"/>
        <v>0</v>
      </c>
      <c r="Z591" s="1">
        <f t="shared" si="79"/>
        <v>0</v>
      </c>
      <c r="AA591" s="1">
        <f t="shared" si="80"/>
        <v>0</v>
      </c>
    </row>
    <row r="592" spans="2:27" x14ac:dyDescent="0.3">
      <c r="B592" s="12"/>
      <c r="I592" s="14"/>
      <c r="J592" s="13"/>
      <c r="T592" s="1">
        <f t="shared" si="73"/>
        <v>0</v>
      </c>
      <c r="U592" s="1">
        <f t="shared" si="74"/>
        <v>0</v>
      </c>
      <c r="V592" s="1">
        <f t="shared" si="75"/>
        <v>0</v>
      </c>
      <c r="W592" s="1">
        <f t="shared" si="76"/>
        <v>0</v>
      </c>
      <c r="X592" s="1">
        <f t="shared" si="77"/>
        <v>0</v>
      </c>
      <c r="Y592" s="1">
        <f t="shared" si="78"/>
        <v>0</v>
      </c>
      <c r="Z592" s="1">
        <f t="shared" si="79"/>
        <v>0</v>
      </c>
      <c r="AA592" s="1">
        <f t="shared" si="80"/>
        <v>0</v>
      </c>
    </row>
    <row r="593" spans="2:27" x14ac:dyDescent="0.3">
      <c r="B593" s="12"/>
      <c r="I593" s="14"/>
      <c r="J593" s="13"/>
      <c r="T593" s="1">
        <f t="shared" si="73"/>
        <v>0</v>
      </c>
      <c r="U593" s="1">
        <f t="shared" si="74"/>
        <v>0</v>
      </c>
      <c r="V593" s="1">
        <f t="shared" si="75"/>
        <v>0</v>
      </c>
      <c r="W593" s="1">
        <f t="shared" si="76"/>
        <v>0</v>
      </c>
      <c r="X593" s="1">
        <f t="shared" si="77"/>
        <v>0</v>
      </c>
      <c r="Y593" s="1">
        <f t="shared" si="78"/>
        <v>0</v>
      </c>
      <c r="Z593" s="1">
        <f t="shared" si="79"/>
        <v>0</v>
      </c>
      <c r="AA593" s="1">
        <f t="shared" si="80"/>
        <v>0</v>
      </c>
    </row>
    <row r="594" spans="2:27" x14ac:dyDescent="0.3">
      <c r="B594" s="12"/>
      <c r="I594" s="14"/>
      <c r="J594" s="13"/>
      <c r="T594" s="1">
        <f t="shared" si="73"/>
        <v>0</v>
      </c>
      <c r="U594" s="1">
        <f t="shared" si="74"/>
        <v>0</v>
      </c>
      <c r="V594" s="1">
        <f t="shared" si="75"/>
        <v>0</v>
      </c>
      <c r="W594" s="1">
        <f t="shared" si="76"/>
        <v>0</v>
      </c>
      <c r="X594" s="1">
        <f t="shared" si="77"/>
        <v>0</v>
      </c>
      <c r="Y594" s="1">
        <f t="shared" si="78"/>
        <v>0</v>
      </c>
      <c r="Z594" s="1">
        <f t="shared" si="79"/>
        <v>0</v>
      </c>
      <c r="AA594" s="1">
        <f t="shared" si="80"/>
        <v>0</v>
      </c>
    </row>
    <row r="595" spans="2:27" x14ac:dyDescent="0.3">
      <c r="B595" s="12"/>
      <c r="I595" s="14"/>
      <c r="J595" s="13"/>
      <c r="T595" s="1">
        <f t="shared" si="73"/>
        <v>0</v>
      </c>
      <c r="U595" s="1">
        <f t="shared" si="74"/>
        <v>0</v>
      </c>
      <c r="V595" s="1">
        <f t="shared" si="75"/>
        <v>0</v>
      </c>
      <c r="W595" s="1">
        <f t="shared" si="76"/>
        <v>0</v>
      </c>
      <c r="X595" s="1">
        <f t="shared" si="77"/>
        <v>0</v>
      </c>
      <c r="Y595" s="1">
        <f t="shared" si="78"/>
        <v>0</v>
      </c>
      <c r="Z595" s="1">
        <f t="shared" si="79"/>
        <v>0</v>
      </c>
      <c r="AA595" s="1">
        <f t="shared" si="80"/>
        <v>0</v>
      </c>
    </row>
    <row r="596" spans="2:27" x14ac:dyDescent="0.3">
      <c r="B596" s="12"/>
      <c r="I596" s="14"/>
      <c r="J596" s="13"/>
      <c r="T596" s="1">
        <f t="shared" si="73"/>
        <v>0</v>
      </c>
      <c r="U596" s="1">
        <f t="shared" si="74"/>
        <v>0</v>
      </c>
      <c r="V596" s="1">
        <f t="shared" si="75"/>
        <v>0</v>
      </c>
      <c r="W596" s="1">
        <f t="shared" si="76"/>
        <v>0</v>
      </c>
      <c r="X596" s="1">
        <f t="shared" si="77"/>
        <v>0</v>
      </c>
      <c r="Y596" s="1">
        <f t="shared" si="78"/>
        <v>0</v>
      </c>
      <c r="Z596" s="1">
        <f t="shared" si="79"/>
        <v>0</v>
      </c>
      <c r="AA596" s="1">
        <f t="shared" si="80"/>
        <v>0</v>
      </c>
    </row>
    <row r="597" spans="2:27" x14ac:dyDescent="0.3">
      <c r="B597" s="12"/>
      <c r="I597" s="14"/>
      <c r="J597" s="13"/>
      <c r="T597" s="1">
        <f t="shared" si="73"/>
        <v>0</v>
      </c>
      <c r="U597" s="1">
        <f t="shared" si="74"/>
        <v>0</v>
      </c>
      <c r="V597" s="1">
        <f t="shared" si="75"/>
        <v>0</v>
      </c>
      <c r="W597" s="1">
        <f t="shared" si="76"/>
        <v>0</v>
      </c>
      <c r="X597" s="1">
        <f t="shared" si="77"/>
        <v>0</v>
      </c>
      <c r="Y597" s="1">
        <f t="shared" si="78"/>
        <v>0</v>
      </c>
      <c r="Z597" s="1">
        <f t="shared" si="79"/>
        <v>0</v>
      </c>
      <c r="AA597" s="1">
        <f t="shared" si="80"/>
        <v>0</v>
      </c>
    </row>
    <row r="598" spans="2:27" x14ac:dyDescent="0.3">
      <c r="B598" s="12"/>
      <c r="I598" s="14"/>
      <c r="J598" s="13"/>
      <c r="T598" s="1">
        <f t="shared" si="73"/>
        <v>0</v>
      </c>
      <c r="U598" s="1">
        <f t="shared" si="74"/>
        <v>0</v>
      </c>
      <c r="V598" s="1">
        <f t="shared" si="75"/>
        <v>0</v>
      </c>
      <c r="W598" s="1">
        <f t="shared" si="76"/>
        <v>0</v>
      </c>
      <c r="X598" s="1">
        <f t="shared" si="77"/>
        <v>0</v>
      </c>
      <c r="Y598" s="1">
        <f t="shared" si="78"/>
        <v>0</v>
      </c>
      <c r="Z598" s="1">
        <f t="shared" si="79"/>
        <v>0</v>
      </c>
      <c r="AA598" s="1">
        <f t="shared" si="80"/>
        <v>0</v>
      </c>
    </row>
    <row r="599" spans="2:27" x14ac:dyDescent="0.3">
      <c r="B599" s="12"/>
      <c r="I599" s="14"/>
      <c r="J599" s="13"/>
      <c r="T599" s="1">
        <f t="shared" si="73"/>
        <v>0</v>
      </c>
      <c r="U599" s="1">
        <f t="shared" si="74"/>
        <v>0</v>
      </c>
      <c r="V599" s="1">
        <f t="shared" si="75"/>
        <v>0</v>
      </c>
      <c r="W599" s="1">
        <f t="shared" si="76"/>
        <v>0</v>
      </c>
      <c r="X599" s="1">
        <f t="shared" si="77"/>
        <v>0</v>
      </c>
      <c r="Y599" s="1">
        <f t="shared" si="78"/>
        <v>0</v>
      </c>
      <c r="Z599" s="1">
        <f t="shared" si="79"/>
        <v>0</v>
      </c>
      <c r="AA599" s="1">
        <f t="shared" si="80"/>
        <v>0</v>
      </c>
    </row>
    <row r="600" spans="2:27" x14ac:dyDescent="0.3">
      <c r="B600" s="12"/>
      <c r="I600" s="14"/>
      <c r="J600" s="13"/>
      <c r="T600" s="1">
        <f t="shared" si="73"/>
        <v>0</v>
      </c>
      <c r="U600" s="1">
        <f t="shared" si="74"/>
        <v>0</v>
      </c>
      <c r="V600" s="1">
        <f t="shared" si="75"/>
        <v>0</v>
      </c>
      <c r="W600" s="1">
        <f t="shared" si="76"/>
        <v>0</v>
      </c>
      <c r="X600" s="1">
        <f t="shared" si="77"/>
        <v>0</v>
      </c>
      <c r="Y600" s="1">
        <f t="shared" si="78"/>
        <v>0</v>
      </c>
      <c r="Z600" s="1">
        <f t="shared" si="79"/>
        <v>0</v>
      </c>
      <c r="AA600" s="1">
        <f t="shared" si="80"/>
        <v>0</v>
      </c>
    </row>
    <row r="601" spans="2:27" x14ac:dyDescent="0.3">
      <c r="B601" s="12"/>
      <c r="I601" s="14"/>
      <c r="J601" s="13"/>
      <c r="T601" s="1">
        <f t="shared" si="73"/>
        <v>0</v>
      </c>
      <c r="U601" s="1">
        <f t="shared" si="74"/>
        <v>0</v>
      </c>
      <c r="V601" s="1">
        <f t="shared" si="75"/>
        <v>0</v>
      </c>
      <c r="W601" s="1">
        <f t="shared" si="76"/>
        <v>0</v>
      </c>
      <c r="X601" s="1">
        <f t="shared" si="77"/>
        <v>0</v>
      </c>
      <c r="Y601" s="1">
        <f t="shared" si="78"/>
        <v>0</v>
      </c>
      <c r="Z601" s="1">
        <f t="shared" si="79"/>
        <v>0</v>
      </c>
      <c r="AA601" s="1">
        <f t="shared" si="80"/>
        <v>0</v>
      </c>
    </row>
    <row r="602" spans="2:27" x14ac:dyDescent="0.3">
      <c r="B602" s="12"/>
      <c r="I602" s="14"/>
      <c r="J602" s="13"/>
      <c r="T602" s="1">
        <f t="shared" si="73"/>
        <v>0</v>
      </c>
      <c r="U602" s="1">
        <f t="shared" si="74"/>
        <v>0</v>
      </c>
      <c r="V602" s="1">
        <f t="shared" si="75"/>
        <v>0</v>
      </c>
      <c r="W602" s="1">
        <f t="shared" si="76"/>
        <v>0</v>
      </c>
      <c r="X602" s="1">
        <f t="shared" si="77"/>
        <v>0</v>
      </c>
      <c r="Y602" s="1">
        <f t="shared" si="78"/>
        <v>0</v>
      </c>
      <c r="Z602" s="1">
        <f t="shared" si="79"/>
        <v>0</v>
      </c>
      <c r="AA602" s="1">
        <f t="shared" si="80"/>
        <v>0</v>
      </c>
    </row>
    <row r="603" spans="2:27" x14ac:dyDescent="0.3">
      <c r="B603" s="12"/>
      <c r="I603" s="14"/>
      <c r="J603" s="13"/>
      <c r="T603" s="1">
        <f t="shared" si="73"/>
        <v>0</v>
      </c>
      <c r="U603" s="1">
        <f t="shared" si="74"/>
        <v>0</v>
      </c>
      <c r="V603" s="1">
        <f t="shared" si="75"/>
        <v>0</v>
      </c>
      <c r="W603" s="1">
        <f t="shared" si="76"/>
        <v>0</v>
      </c>
      <c r="X603" s="1">
        <f t="shared" si="77"/>
        <v>0</v>
      </c>
      <c r="Y603" s="1">
        <f t="shared" si="78"/>
        <v>0</v>
      </c>
      <c r="Z603" s="1">
        <f t="shared" si="79"/>
        <v>0</v>
      </c>
      <c r="AA603" s="1">
        <f t="shared" si="80"/>
        <v>0</v>
      </c>
    </row>
    <row r="604" spans="2:27" x14ac:dyDescent="0.3">
      <c r="B604" s="12"/>
      <c r="I604" s="14"/>
      <c r="J604" s="13"/>
      <c r="T604" s="1">
        <f t="shared" si="73"/>
        <v>0</v>
      </c>
      <c r="U604" s="1">
        <f t="shared" si="74"/>
        <v>0</v>
      </c>
      <c r="V604" s="1">
        <f t="shared" si="75"/>
        <v>0</v>
      </c>
      <c r="W604" s="1">
        <f t="shared" si="76"/>
        <v>0</v>
      </c>
      <c r="X604" s="1">
        <f t="shared" si="77"/>
        <v>0</v>
      </c>
      <c r="Y604" s="1">
        <f t="shared" si="78"/>
        <v>0</v>
      </c>
      <c r="Z604" s="1">
        <f t="shared" si="79"/>
        <v>0</v>
      </c>
      <c r="AA604" s="1">
        <f t="shared" si="80"/>
        <v>0</v>
      </c>
    </row>
    <row r="605" spans="2:27" x14ac:dyDescent="0.3">
      <c r="B605" s="12"/>
      <c r="I605" s="14"/>
      <c r="J605" s="13"/>
      <c r="T605" s="1">
        <f t="shared" si="73"/>
        <v>0</v>
      </c>
      <c r="U605" s="1">
        <f t="shared" si="74"/>
        <v>0</v>
      </c>
      <c r="V605" s="1">
        <f t="shared" si="75"/>
        <v>0</v>
      </c>
      <c r="W605" s="1">
        <f t="shared" si="76"/>
        <v>0</v>
      </c>
      <c r="X605" s="1">
        <f t="shared" si="77"/>
        <v>0</v>
      </c>
      <c r="Y605" s="1">
        <f t="shared" si="78"/>
        <v>0</v>
      </c>
      <c r="Z605" s="1">
        <f t="shared" si="79"/>
        <v>0</v>
      </c>
      <c r="AA605" s="1">
        <f t="shared" si="80"/>
        <v>0</v>
      </c>
    </row>
    <row r="606" spans="2:27" x14ac:dyDescent="0.3">
      <c r="B606" s="12"/>
      <c r="I606" s="14"/>
      <c r="J606" s="13"/>
      <c r="T606" s="1">
        <f t="shared" si="73"/>
        <v>0</v>
      </c>
      <c r="U606" s="1">
        <f t="shared" si="74"/>
        <v>0</v>
      </c>
      <c r="V606" s="1">
        <f t="shared" si="75"/>
        <v>0</v>
      </c>
      <c r="W606" s="1">
        <f t="shared" si="76"/>
        <v>0</v>
      </c>
      <c r="X606" s="1">
        <f t="shared" si="77"/>
        <v>0</v>
      </c>
      <c r="Y606" s="1">
        <f t="shared" si="78"/>
        <v>0</v>
      </c>
      <c r="Z606" s="1">
        <f t="shared" si="79"/>
        <v>0</v>
      </c>
      <c r="AA606" s="1">
        <f t="shared" si="80"/>
        <v>0</v>
      </c>
    </row>
    <row r="607" spans="2:27" x14ac:dyDescent="0.3">
      <c r="B607" s="12"/>
      <c r="I607" s="14"/>
      <c r="J607" s="13"/>
      <c r="T607" s="1">
        <f t="shared" si="73"/>
        <v>0</v>
      </c>
      <c r="U607" s="1">
        <f t="shared" si="74"/>
        <v>0</v>
      </c>
      <c r="V607" s="1">
        <f t="shared" si="75"/>
        <v>0</v>
      </c>
      <c r="W607" s="1">
        <f t="shared" si="76"/>
        <v>0</v>
      </c>
      <c r="X607" s="1">
        <f t="shared" si="77"/>
        <v>0</v>
      </c>
      <c r="Y607" s="1">
        <f t="shared" si="78"/>
        <v>0</v>
      </c>
      <c r="Z607" s="1">
        <f t="shared" si="79"/>
        <v>0</v>
      </c>
      <c r="AA607" s="1">
        <f t="shared" si="80"/>
        <v>0</v>
      </c>
    </row>
    <row r="608" spans="2:27" x14ac:dyDescent="0.3">
      <c r="B608" s="12"/>
      <c r="I608" s="14"/>
      <c r="J608" s="13"/>
      <c r="T608" s="1">
        <f t="shared" si="73"/>
        <v>0</v>
      </c>
      <c r="U608" s="1">
        <f t="shared" si="74"/>
        <v>0</v>
      </c>
      <c r="V608" s="1">
        <f t="shared" si="75"/>
        <v>0</v>
      </c>
      <c r="W608" s="1">
        <f t="shared" si="76"/>
        <v>0</v>
      </c>
      <c r="X608" s="1">
        <f t="shared" si="77"/>
        <v>0</v>
      </c>
      <c r="Y608" s="1">
        <f t="shared" si="78"/>
        <v>0</v>
      </c>
      <c r="Z608" s="1">
        <f t="shared" si="79"/>
        <v>0</v>
      </c>
      <c r="AA608" s="1">
        <f t="shared" si="80"/>
        <v>0</v>
      </c>
    </row>
    <row r="609" spans="2:27" x14ac:dyDescent="0.3">
      <c r="B609" s="12"/>
      <c r="I609" s="14"/>
      <c r="J609" s="13"/>
      <c r="T609" s="1">
        <f t="shared" si="73"/>
        <v>0</v>
      </c>
      <c r="U609" s="1">
        <f t="shared" si="74"/>
        <v>0</v>
      </c>
      <c r="V609" s="1">
        <f t="shared" si="75"/>
        <v>0</v>
      </c>
      <c r="W609" s="1">
        <f t="shared" si="76"/>
        <v>0</v>
      </c>
      <c r="X609" s="1">
        <f t="shared" si="77"/>
        <v>0</v>
      </c>
      <c r="Y609" s="1">
        <f t="shared" si="78"/>
        <v>0</v>
      </c>
      <c r="Z609" s="1">
        <f t="shared" si="79"/>
        <v>0</v>
      </c>
      <c r="AA609" s="1">
        <f t="shared" si="80"/>
        <v>0</v>
      </c>
    </row>
    <row r="610" spans="2:27" x14ac:dyDescent="0.3">
      <c r="B610" s="12"/>
      <c r="I610" s="14"/>
      <c r="J610" s="13"/>
      <c r="T610" s="1">
        <f t="shared" si="73"/>
        <v>0</v>
      </c>
      <c r="U610" s="1">
        <f t="shared" si="74"/>
        <v>0</v>
      </c>
      <c r="V610" s="1">
        <f t="shared" si="75"/>
        <v>0</v>
      </c>
      <c r="W610" s="1">
        <f t="shared" si="76"/>
        <v>0</v>
      </c>
      <c r="X610" s="1">
        <f t="shared" si="77"/>
        <v>0</v>
      </c>
      <c r="Y610" s="1">
        <f t="shared" si="78"/>
        <v>0</v>
      </c>
      <c r="Z610" s="1">
        <f t="shared" si="79"/>
        <v>0</v>
      </c>
      <c r="AA610" s="1">
        <f t="shared" si="80"/>
        <v>0</v>
      </c>
    </row>
    <row r="611" spans="2:27" x14ac:dyDescent="0.3">
      <c r="B611" s="12"/>
      <c r="I611" s="14"/>
      <c r="J611" s="13"/>
      <c r="T611" s="1">
        <f t="shared" si="73"/>
        <v>0</v>
      </c>
      <c r="U611" s="1">
        <f t="shared" si="74"/>
        <v>0</v>
      </c>
      <c r="V611" s="1">
        <f t="shared" si="75"/>
        <v>0</v>
      </c>
      <c r="W611" s="1">
        <f t="shared" si="76"/>
        <v>0</v>
      </c>
      <c r="X611" s="1">
        <f t="shared" si="77"/>
        <v>0</v>
      </c>
      <c r="Y611" s="1">
        <f t="shared" si="78"/>
        <v>0</v>
      </c>
      <c r="Z611" s="1">
        <f t="shared" si="79"/>
        <v>0</v>
      </c>
      <c r="AA611" s="1">
        <f t="shared" si="80"/>
        <v>0</v>
      </c>
    </row>
    <row r="612" spans="2:27" x14ac:dyDescent="0.3">
      <c r="B612" s="12"/>
      <c r="I612" s="14"/>
      <c r="J612" s="13"/>
      <c r="T612" s="1">
        <f t="shared" si="73"/>
        <v>0</v>
      </c>
      <c r="U612" s="1">
        <f t="shared" si="74"/>
        <v>0</v>
      </c>
      <c r="V612" s="1">
        <f t="shared" si="75"/>
        <v>0</v>
      </c>
      <c r="W612" s="1">
        <f t="shared" si="76"/>
        <v>0</v>
      </c>
      <c r="X612" s="1">
        <f t="shared" si="77"/>
        <v>0</v>
      </c>
      <c r="Y612" s="1">
        <f t="shared" si="78"/>
        <v>0</v>
      </c>
      <c r="Z612" s="1">
        <f t="shared" si="79"/>
        <v>0</v>
      </c>
      <c r="AA612" s="1">
        <f t="shared" si="80"/>
        <v>0</v>
      </c>
    </row>
    <row r="613" spans="2:27" x14ac:dyDescent="0.3">
      <c r="B613" s="12"/>
      <c r="I613" s="14"/>
      <c r="J613" s="13"/>
      <c r="T613" s="1">
        <f t="shared" si="73"/>
        <v>0</v>
      </c>
      <c r="U613" s="1">
        <f t="shared" si="74"/>
        <v>0</v>
      </c>
      <c r="V613" s="1">
        <f t="shared" si="75"/>
        <v>0</v>
      </c>
      <c r="W613" s="1">
        <f t="shared" si="76"/>
        <v>0</v>
      </c>
      <c r="X613" s="1">
        <f t="shared" si="77"/>
        <v>0</v>
      </c>
      <c r="Y613" s="1">
        <f t="shared" si="78"/>
        <v>0</v>
      </c>
      <c r="Z613" s="1">
        <f t="shared" si="79"/>
        <v>0</v>
      </c>
      <c r="AA613" s="1">
        <f t="shared" si="80"/>
        <v>0</v>
      </c>
    </row>
    <row r="614" spans="2:27" x14ac:dyDescent="0.3">
      <c r="B614" s="12"/>
      <c r="I614" s="14"/>
      <c r="J614" s="13"/>
      <c r="T614" s="1">
        <f t="shared" si="73"/>
        <v>0</v>
      </c>
      <c r="U614" s="1">
        <f t="shared" si="74"/>
        <v>0</v>
      </c>
      <c r="V614" s="1">
        <f t="shared" si="75"/>
        <v>0</v>
      </c>
      <c r="W614" s="1">
        <f t="shared" si="76"/>
        <v>0</v>
      </c>
      <c r="X614" s="1">
        <f t="shared" si="77"/>
        <v>0</v>
      </c>
      <c r="Y614" s="1">
        <f t="shared" si="78"/>
        <v>0</v>
      </c>
      <c r="Z614" s="1">
        <f t="shared" si="79"/>
        <v>0</v>
      </c>
      <c r="AA614" s="1">
        <f t="shared" si="80"/>
        <v>0</v>
      </c>
    </row>
    <row r="615" spans="2:27" x14ac:dyDescent="0.3">
      <c r="B615" s="12"/>
      <c r="I615" s="14"/>
      <c r="J615" s="13"/>
      <c r="T615" s="1">
        <f t="shared" si="73"/>
        <v>0</v>
      </c>
      <c r="U615" s="1">
        <f t="shared" si="74"/>
        <v>0</v>
      </c>
      <c r="V615" s="1">
        <f t="shared" si="75"/>
        <v>0</v>
      </c>
      <c r="W615" s="1">
        <f t="shared" si="76"/>
        <v>0</v>
      </c>
      <c r="X615" s="1">
        <f t="shared" si="77"/>
        <v>0</v>
      </c>
      <c r="Y615" s="1">
        <f t="shared" si="78"/>
        <v>0</v>
      </c>
      <c r="Z615" s="1">
        <f t="shared" si="79"/>
        <v>0</v>
      </c>
      <c r="AA615" s="1">
        <f t="shared" si="80"/>
        <v>0</v>
      </c>
    </row>
    <row r="616" spans="2:27" x14ac:dyDescent="0.3">
      <c r="B616" s="12"/>
      <c r="I616" s="14"/>
      <c r="J616" s="13"/>
      <c r="T616" s="1">
        <f t="shared" si="73"/>
        <v>0</v>
      </c>
      <c r="U616" s="1">
        <f t="shared" si="74"/>
        <v>0</v>
      </c>
      <c r="V616" s="1">
        <f t="shared" si="75"/>
        <v>0</v>
      </c>
      <c r="W616" s="1">
        <f t="shared" si="76"/>
        <v>0</v>
      </c>
      <c r="X616" s="1">
        <f t="shared" si="77"/>
        <v>0</v>
      </c>
      <c r="Y616" s="1">
        <f t="shared" si="78"/>
        <v>0</v>
      </c>
      <c r="Z616" s="1">
        <f t="shared" si="79"/>
        <v>0</v>
      </c>
      <c r="AA616" s="1">
        <f t="shared" si="80"/>
        <v>0</v>
      </c>
    </row>
    <row r="617" spans="2:27" x14ac:dyDescent="0.3">
      <c r="B617" s="12"/>
      <c r="I617" s="14"/>
      <c r="J617" s="13"/>
      <c r="T617" s="1">
        <f t="shared" si="73"/>
        <v>0</v>
      </c>
      <c r="U617" s="1">
        <f t="shared" si="74"/>
        <v>0</v>
      </c>
      <c r="V617" s="1">
        <f t="shared" si="75"/>
        <v>0</v>
      </c>
      <c r="W617" s="1">
        <f t="shared" si="76"/>
        <v>0</v>
      </c>
      <c r="X617" s="1">
        <f t="shared" si="77"/>
        <v>0</v>
      </c>
      <c r="Y617" s="1">
        <f t="shared" si="78"/>
        <v>0</v>
      </c>
      <c r="Z617" s="1">
        <f t="shared" si="79"/>
        <v>0</v>
      </c>
      <c r="AA617" s="1">
        <f t="shared" si="80"/>
        <v>0</v>
      </c>
    </row>
    <row r="618" spans="2:27" x14ac:dyDescent="0.3">
      <c r="B618" s="12"/>
      <c r="I618" s="14"/>
      <c r="J618" s="13"/>
      <c r="T618" s="1">
        <f t="shared" si="73"/>
        <v>0</v>
      </c>
      <c r="U618" s="1">
        <f t="shared" si="74"/>
        <v>0</v>
      </c>
      <c r="V618" s="1">
        <f t="shared" si="75"/>
        <v>0</v>
      </c>
      <c r="W618" s="1">
        <f t="shared" si="76"/>
        <v>0</v>
      </c>
      <c r="X618" s="1">
        <f t="shared" si="77"/>
        <v>0</v>
      </c>
      <c r="Y618" s="1">
        <f t="shared" si="78"/>
        <v>0</v>
      </c>
      <c r="Z618" s="1">
        <f t="shared" si="79"/>
        <v>0</v>
      </c>
      <c r="AA618" s="1">
        <f t="shared" si="80"/>
        <v>0</v>
      </c>
    </row>
    <row r="619" spans="2:27" x14ac:dyDescent="0.3">
      <c r="B619" s="12"/>
      <c r="I619" s="14"/>
      <c r="J619" s="13"/>
      <c r="T619" s="1">
        <f t="shared" si="73"/>
        <v>0</v>
      </c>
      <c r="U619" s="1">
        <f t="shared" si="74"/>
        <v>0</v>
      </c>
      <c r="V619" s="1">
        <f t="shared" si="75"/>
        <v>0</v>
      </c>
      <c r="W619" s="1">
        <f t="shared" si="76"/>
        <v>0</v>
      </c>
      <c r="X619" s="1">
        <f t="shared" si="77"/>
        <v>0</v>
      </c>
      <c r="Y619" s="1">
        <f t="shared" si="78"/>
        <v>0</v>
      </c>
      <c r="Z619" s="1">
        <f t="shared" si="79"/>
        <v>0</v>
      </c>
      <c r="AA619" s="1">
        <f t="shared" si="80"/>
        <v>0</v>
      </c>
    </row>
    <row r="620" spans="2:27" x14ac:dyDescent="0.3">
      <c r="B620" s="12"/>
      <c r="I620" s="14"/>
      <c r="J620" s="13"/>
      <c r="T620" s="1">
        <f t="shared" si="73"/>
        <v>0</v>
      </c>
      <c r="U620" s="1">
        <f t="shared" si="74"/>
        <v>0</v>
      </c>
      <c r="V620" s="1">
        <f t="shared" si="75"/>
        <v>0</v>
      </c>
      <c r="W620" s="1">
        <f t="shared" si="76"/>
        <v>0</v>
      </c>
      <c r="X620" s="1">
        <f t="shared" si="77"/>
        <v>0</v>
      </c>
      <c r="Y620" s="1">
        <f t="shared" si="78"/>
        <v>0</v>
      </c>
      <c r="Z620" s="1">
        <f t="shared" si="79"/>
        <v>0</v>
      </c>
      <c r="AA620" s="1">
        <f t="shared" si="80"/>
        <v>0</v>
      </c>
    </row>
    <row r="621" spans="2:27" x14ac:dyDescent="0.3">
      <c r="B621" s="12"/>
      <c r="I621" s="14"/>
      <c r="J621" s="13"/>
      <c r="T621" s="1">
        <f t="shared" si="73"/>
        <v>0</v>
      </c>
      <c r="U621" s="1">
        <f t="shared" si="74"/>
        <v>0</v>
      </c>
      <c r="V621" s="1">
        <f t="shared" si="75"/>
        <v>0</v>
      </c>
      <c r="W621" s="1">
        <f t="shared" si="76"/>
        <v>0</v>
      </c>
      <c r="X621" s="1">
        <f t="shared" si="77"/>
        <v>0</v>
      </c>
      <c r="Y621" s="1">
        <f t="shared" si="78"/>
        <v>0</v>
      </c>
      <c r="Z621" s="1">
        <f t="shared" si="79"/>
        <v>0</v>
      </c>
      <c r="AA621" s="1">
        <f t="shared" si="80"/>
        <v>0</v>
      </c>
    </row>
    <row r="622" spans="2:27" x14ac:dyDescent="0.3">
      <c r="B622" s="12"/>
      <c r="I622" s="14"/>
      <c r="J622" s="13"/>
      <c r="T622" s="1">
        <f t="shared" si="73"/>
        <v>0</v>
      </c>
      <c r="U622" s="1">
        <f t="shared" si="74"/>
        <v>0</v>
      </c>
      <c r="V622" s="1">
        <f t="shared" si="75"/>
        <v>0</v>
      </c>
      <c r="W622" s="1">
        <f t="shared" si="76"/>
        <v>0</v>
      </c>
      <c r="X622" s="1">
        <f t="shared" si="77"/>
        <v>0</v>
      </c>
      <c r="Y622" s="1">
        <f t="shared" si="78"/>
        <v>0</v>
      </c>
      <c r="Z622" s="1">
        <f t="shared" si="79"/>
        <v>0</v>
      </c>
      <c r="AA622" s="1">
        <f t="shared" si="80"/>
        <v>0</v>
      </c>
    </row>
    <row r="623" spans="2:27" x14ac:dyDescent="0.3">
      <c r="B623" s="12"/>
      <c r="I623" s="14"/>
      <c r="J623" s="13"/>
      <c r="T623" s="1">
        <f t="shared" si="73"/>
        <v>0</v>
      </c>
      <c r="U623" s="1">
        <f t="shared" si="74"/>
        <v>0</v>
      </c>
      <c r="V623" s="1">
        <f t="shared" si="75"/>
        <v>0</v>
      </c>
      <c r="W623" s="1">
        <f t="shared" si="76"/>
        <v>0</v>
      </c>
      <c r="X623" s="1">
        <f t="shared" si="77"/>
        <v>0</v>
      </c>
      <c r="Y623" s="1">
        <f t="shared" si="78"/>
        <v>0</v>
      </c>
      <c r="Z623" s="1">
        <f t="shared" si="79"/>
        <v>0</v>
      </c>
      <c r="AA623" s="1">
        <f t="shared" si="80"/>
        <v>0</v>
      </c>
    </row>
    <row r="624" spans="2:27" x14ac:dyDescent="0.3">
      <c r="B624" s="12"/>
      <c r="I624" s="14"/>
      <c r="J624" s="13"/>
      <c r="T624" s="1">
        <f t="shared" si="73"/>
        <v>0</v>
      </c>
      <c r="U624" s="1">
        <f t="shared" si="74"/>
        <v>0</v>
      </c>
      <c r="V624" s="1">
        <f t="shared" si="75"/>
        <v>0</v>
      </c>
      <c r="W624" s="1">
        <f t="shared" si="76"/>
        <v>0</v>
      </c>
      <c r="X624" s="1">
        <f t="shared" si="77"/>
        <v>0</v>
      </c>
      <c r="Y624" s="1">
        <f t="shared" si="78"/>
        <v>0</v>
      </c>
      <c r="Z624" s="1">
        <f t="shared" si="79"/>
        <v>0</v>
      </c>
      <c r="AA624" s="1">
        <f t="shared" si="80"/>
        <v>0</v>
      </c>
    </row>
    <row r="625" spans="2:27" x14ac:dyDescent="0.3">
      <c r="B625" s="12"/>
      <c r="J625" s="13"/>
      <c r="T625" s="1">
        <f t="shared" si="73"/>
        <v>0</v>
      </c>
      <c r="U625" s="1">
        <f t="shared" si="74"/>
        <v>0</v>
      </c>
      <c r="V625" s="1">
        <f t="shared" si="75"/>
        <v>0</v>
      </c>
      <c r="W625" s="1">
        <f t="shared" si="76"/>
        <v>0</v>
      </c>
      <c r="X625" s="1">
        <f t="shared" si="77"/>
        <v>0</v>
      </c>
      <c r="Y625" s="1">
        <f t="shared" si="78"/>
        <v>0</v>
      </c>
      <c r="Z625" s="1">
        <f t="shared" si="79"/>
        <v>0</v>
      </c>
      <c r="AA625" s="1">
        <f t="shared" si="80"/>
        <v>0</v>
      </c>
    </row>
    <row r="626" spans="2:27" x14ac:dyDescent="0.3">
      <c r="B626" s="12"/>
      <c r="J626" s="13"/>
      <c r="T626" s="1">
        <f t="shared" si="73"/>
        <v>0</v>
      </c>
      <c r="U626" s="1">
        <f t="shared" si="74"/>
        <v>0</v>
      </c>
      <c r="V626" s="1">
        <f t="shared" si="75"/>
        <v>0</v>
      </c>
      <c r="W626" s="1">
        <f t="shared" si="76"/>
        <v>0</v>
      </c>
      <c r="X626" s="1">
        <f t="shared" si="77"/>
        <v>0</v>
      </c>
      <c r="Y626" s="1">
        <f t="shared" si="78"/>
        <v>0</v>
      </c>
      <c r="Z626" s="1">
        <f t="shared" si="79"/>
        <v>0</v>
      </c>
      <c r="AA626" s="1">
        <f t="shared" si="80"/>
        <v>0</v>
      </c>
    </row>
    <row r="627" spans="2:27" x14ac:dyDescent="0.3">
      <c r="B627" s="12"/>
      <c r="J627" s="13"/>
      <c r="T627" s="1">
        <f t="shared" si="73"/>
        <v>0</v>
      </c>
      <c r="U627" s="1">
        <f t="shared" si="74"/>
        <v>0</v>
      </c>
      <c r="V627" s="1">
        <f t="shared" si="75"/>
        <v>0</v>
      </c>
      <c r="W627" s="1">
        <f t="shared" si="76"/>
        <v>0</v>
      </c>
      <c r="X627" s="1">
        <f t="shared" si="77"/>
        <v>0</v>
      </c>
      <c r="Y627" s="1">
        <f t="shared" si="78"/>
        <v>0</v>
      </c>
      <c r="Z627" s="1">
        <f t="shared" si="79"/>
        <v>0</v>
      </c>
      <c r="AA627" s="1">
        <f t="shared" si="80"/>
        <v>0</v>
      </c>
    </row>
    <row r="628" spans="2:27" x14ac:dyDescent="0.3">
      <c r="B628" s="12"/>
      <c r="J628" s="13"/>
      <c r="T628" s="1">
        <f t="shared" si="73"/>
        <v>0</v>
      </c>
      <c r="U628" s="1">
        <f t="shared" si="74"/>
        <v>0</v>
      </c>
      <c r="V628" s="1">
        <f t="shared" si="75"/>
        <v>0</v>
      </c>
      <c r="W628" s="1">
        <f t="shared" si="76"/>
        <v>0</v>
      </c>
      <c r="X628" s="1">
        <f t="shared" si="77"/>
        <v>0</v>
      </c>
      <c r="Y628" s="1">
        <f t="shared" si="78"/>
        <v>0</v>
      </c>
      <c r="Z628" s="1">
        <f t="shared" si="79"/>
        <v>0</v>
      </c>
      <c r="AA628" s="1">
        <f t="shared" si="80"/>
        <v>0</v>
      </c>
    </row>
    <row r="629" spans="2:27" x14ac:dyDescent="0.3">
      <c r="B629" s="12"/>
      <c r="J629" s="13"/>
      <c r="T629" s="1">
        <f t="shared" si="73"/>
        <v>0</v>
      </c>
      <c r="U629" s="1">
        <f t="shared" si="74"/>
        <v>0</v>
      </c>
      <c r="V629" s="1">
        <f t="shared" si="75"/>
        <v>0</v>
      </c>
      <c r="W629" s="1">
        <f t="shared" si="76"/>
        <v>0</v>
      </c>
      <c r="X629" s="1">
        <f t="shared" si="77"/>
        <v>0</v>
      </c>
      <c r="Y629" s="1">
        <f t="shared" si="78"/>
        <v>0</v>
      </c>
      <c r="Z629" s="1">
        <f t="shared" si="79"/>
        <v>0</v>
      </c>
      <c r="AA629" s="1">
        <f t="shared" si="80"/>
        <v>0</v>
      </c>
    </row>
    <row r="630" spans="2:27" x14ac:dyDescent="0.3">
      <c r="B630" s="12"/>
      <c r="J630" s="13"/>
      <c r="T630" s="1">
        <f t="shared" si="73"/>
        <v>0</v>
      </c>
      <c r="U630" s="1">
        <f t="shared" si="74"/>
        <v>0</v>
      </c>
      <c r="V630" s="1">
        <f t="shared" si="75"/>
        <v>0</v>
      </c>
      <c r="W630" s="1">
        <f t="shared" si="76"/>
        <v>0</v>
      </c>
      <c r="X630" s="1">
        <f t="shared" si="77"/>
        <v>0</v>
      </c>
      <c r="Y630" s="1">
        <f t="shared" si="78"/>
        <v>0</v>
      </c>
      <c r="Z630" s="1">
        <f t="shared" si="79"/>
        <v>0</v>
      </c>
      <c r="AA630" s="1">
        <f t="shared" si="80"/>
        <v>0</v>
      </c>
    </row>
    <row r="631" spans="2:27" x14ac:dyDescent="0.3">
      <c r="B631" s="12"/>
      <c r="J631" s="13"/>
      <c r="T631" s="1">
        <f t="shared" si="73"/>
        <v>0</v>
      </c>
      <c r="U631" s="1">
        <f t="shared" si="74"/>
        <v>0</v>
      </c>
      <c r="V631" s="1">
        <f t="shared" si="75"/>
        <v>0</v>
      </c>
      <c r="W631" s="1">
        <f t="shared" si="76"/>
        <v>0</v>
      </c>
      <c r="X631" s="1">
        <f t="shared" si="77"/>
        <v>0</v>
      </c>
      <c r="Y631" s="1">
        <f t="shared" si="78"/>
        <v>0</v>
      </c>
      <c r="Z631" s="1">
        <f t="shared" si="79"/>
        <v>0</v>
      </c>
      <c r="AA631" s="1">
        <f t="shared" si="80"/>
        <v>0</v>
      </c>
    </row>
    <row r="632" spans="2:27" x14ac:dyDescent="0.3">
      <c r="B632" s="12"/>
      <c r="J632" s="13"/>
      <c r="T632" s="1">
        <f t="shared" si="73"/>
        <v>0</v>
      </c>
      <c r="U632" s="1">
        <f t="shared" si="74"/>
        <v>0</v>
      </c>
      <c r="V632" s="1">
        <f t="shared" si="75"/>
        <v>0</v>
      </c>
      <c r="W632" s="1">
        <f t="shared" si="76"/>
        <v>0</v>
      </c>
      <c r="X632" s="1">
        <f t="shared" si="77"/>
        <v>0</v>
      </c>
      <c r="Y632" s="1">
        <f t="shared" si="78"/>
        <v>0</v>
      </c>
      <c r="Z632" s="1">
        <f t="shared" si="79"/>
        <v>0</v>
      </c>
      <c r="AA632" s="1">
        <f t="shared" si="80"/>
        <v>0</v>
      </c>
    </row>
    <row r="633" spans="2:27" x14ac:dyDescent="0.3">
      <c r="B633" s="12"/>
      <c r="J633" s="13"/>
      <c r="T633" s="1">
        <f t="shared" si="73"/>
        <v>0</v>
      </c>
      <c r="U633" s="1">
        <f t="shared" si="74"/>
        <v>0</v>
      </c>
      <c r="V633" s="1">
        <f t="shared" si="75"/>
        <v>0</v>
      </c>
      <c r="W633" s="1">
        <f t="shared" si="76"/>
        <v>0</v>
      </c>
      <c r="X633" s="1">
        <f t="shared" si="77"/>
        <v>0</v>
      </c>
      <c r="Y633" s="1">
        <f t="shared" si="78"/>
        <v>0</v>
      </c>
      <c r="Z633" s="1">
        <f t="shared" si="79"/>
        <v>0</v>
      </c>
      <c r="AA633" s="1">
        <f t="shared" si="80"/>
        <v>0</v>
      </c>
    </row>
    <row r="634" spans="2:27" x14ac:dyDescent="0.3">
      <c r="B634" s="12"/>
      <c r="J634" s="13"/>
      <c r="T634" s="1">
        <f t="shared" si="73"/>
        <v>0</v>
      </c>
      <c r="U634" s="1">
        <f t="shared" si="74"/>
        <v>0</v>
      </c>
      <c r="V634" s="1">
        <f t="shared" si="75"/>
        <v>0</v>
      </c>
      <c r="W634" s="1">
        <f t="shared" si="76"/>
        <v>0</v>
      </c>
      <c r="X634" s="1">
        <f t="shared" si="77"/>
        <v>0</v>
      </c>
      <c r="Y634" s="1">
        <f t="shared" si="78"/>
        <v>0</v>
      </c>
      <c r="Z634" s="1">
        <f t="shared" si="79"/>
        <v>0</v>
      </c>
      <c r="AA634" s="1">
        <f t="shared" si="80"/>
        <v>0</v>
      </c>
    </row>
    <row r="635" spans="2:27" x14ac:dyDescent="0.3">
      <c r="B635" s="12"/>
      <c r="J635" s="13"/>
      <c r="T635" s="1">
        <f t="shared" si="73"/>
        <v>0</v>
      </c>
      <c r="U635" s="1">
        <f t="shared" si="74"/>
        <v>0</v>
      </c>
      <c r="V635" s="1">
        <f t="shared" si="75"/>
        <v>0</v>
      </c>
      <c r="W635" s="1">
        <f t="shared" si="76"/>
        <v>0</v>
      </c>
      <c r="X635" s="1">
        <f t="shared" si="77"/>
        <v>0</v>
      </c>
      <c r="Y635" s="1">
        <f t="shared" si="78"/>
        <v>0</v>
      </c>
      <c r="Z635" s="1">
        <f t="shared" si="79"/>
        <v>0</v>
      </c>
      <c r="AA635" s="1">
        <f t="shared" si="80"/>
        <v>0</v>
      </c>
    </row>
    <row r="636" spans="2:27" x14ac:dyDescent="0.3">
      <c r="B636" s="12"/>
      <c r="J636" s="13"/>
      <c r="T636" s="1">
        <f t="shared" si="73"/>
        <v>0</v>
      </c>
      <c r="U636" s="1">
        <f t="shared" si="74"/>
        <v>0</v>
      </c>
      <c r="V636" s="1">
        <f t="shared" si="75"/>
        <v>0</v>
      </c>
      <c r="W636" s="1">
        <f t="shared" si="76"/>
        <v>0</v>
      </c>
      <c r="X636" s="1">
        <f t="shared" si="77"/>
        <v>0</v>
      </c>
      <c r="Y636" s="1">
        <f t="shared" si="78"/>
        <v>0</v>
      </c>
      <c r="Z636" s="1">
        <f t="shared" si="79"/>
        <v>0</v>
      </c>
      <c r="AA636" s="1">
        <f t="shared" si="80"/>
        <v>0</v>
      </c>
    </row>
    <row r="637" spans="2:27" x14ac:dyDescent="0.3">
      <c r="B637" s="12"/>
      <c r="J637" s="13"/>
      <c r="T637" s="1">
        <f t="shared" si="73"/>
        <v>0</v>
      </c>
      <c r="U637" s="1">
        <f t="shared" si="74"/>
        <v>0</v>
      </c>
      <c r="V637" s="1">
        <f t="shared" si="75"/>
        <v>0</v>
      </c>
      <c r="W637" s="1">
        <f t="shared" si="76"/>
        <v>0</v>
      </c>
      <c r="X637" s="1">
        <f t="shared" si="77"/>
        <v>0</v>
      </c>
      <c r="Y637" s="1">
        <f t="shared" si="78"/>
        <v>0</v>
      </c>
      <c r="Z637" s="1">
        <f t="shared" si="79"/>
        <v>0</v>
      </c>
      <c r="AA637" s="1">
        <f t="shared" si="80"/>
        <v>0</v>
      </c>
    </row>
    <row r="638" spans="2:27" x14ac:dyDescent="0.3">
      <c r="B638" s="12"/>
      <c r="J638" s="13"/>
      <c r="T638" s="1">
        <f t="shared" si="73"/>
        <v>0</v>
      </c>
      <c r="U638" s="1">
        <f t="shared" si="74"/>
        <v>0</v>
      </c>
      <c r="V638" s="1">
        <f t="shared" si="75"/>
        <v>0</v>
      </c>
      <c r="W638" s="1">
        <f t="shared" si="76"/>
        <v>0</v>
      </c>
      <c r="X638" s="1">
        <f t="shared" si="77"/>
        <v>0</v>
      </c>
      <c r="Y638" s="1">
        <f t="shared" si="78"/>
        <v>0</v>
      </c>
      <c r="Z638" s="1">
        <f t="shared" si="79"/>
        <v>0</v>
      </c>
      <c r="AA638" s="1">
        <f t="shared" si="80"/>
        <v>0</v>
      </c>
    </row>
    <row r="639" spans="2:27" x14ac:dyDescent="0.3">
      <c r="B639" s="12"/>
      <c r="J639" s="13"/>
      <c r="T639" s="1">
        <f t="shared" si="73"/>
        <v>0</v>
      </c>
      <c r="U639" s="1">
        <f t="shared" si="74"/>
        <v>0</v>
      </c>
      <c r="V639" s="1">
        <f t="shared" si="75"/>
        <v>0</v>
      </c>
      <c r="W639" s="1">
        <f t="shared" si="76"/>
        <v>0</v>
      </c>
      <c r="X639" s="1">
        <f t="shared" si="77"/>
        <v>0</v>
      </c>
      <c r="Y639" s="1">
        <f t="shared" si="78"/>
        <v>0</v>
      </c>
      <c r="Z639" s="1">
        <f t="shared" si="79"/>
        <v>0</v>
      </c>
      <c r="AA639" s="1">
        <f t="shared" si="80"/>
        <v>0</v>
      </c>
    </row>
    <row r="640" spans="2:27" x14ac:dyDescent="0.3">
      <c r="B640" s="12"/>
      <c r="J640" s="13"/>
      <c r="T640" s="1">
        <f t="shared" si="73"/>
        <v>0</v>
      </c>
      <c r="U640" s="1">
        <f t="shared" si="74"/>
        <v>0</v>
      </c>
      <c r="V640" s="1">
        <f t="shared" si="75"/>
        <v>0</v>
      </c>
      <c r="W640" s="1">
        <f t="shared" si="76"/>
        <v>0</v>
      </c>
      <c r="X640" s="1">
        <f t="shared" si="77"/>
        <v>0</v>
      </c>
      <c r="Y640" s="1">
        <f t="shared" si="78"/>
        <v>0</v>
      </c>
      <c r="Z640" s="1">
        <f t="shared" si="79"/>
        <v>0</v>
      </c>
      <c r="AA640" s="1">
        <f t="shared" si="80"/>
        <v>0</v>
      </c>
    </row>
    <row r="641" spans="2:27" x14ac:dyDescent="0.3">
      <c r="B641" s="12"/>
      <c r="J641" s="13"/>
      <c r="T641" s="1">
        <f t="shared" si="73"/>
        <v>0</v>
      </c>
      <c r="U641" s="1">
        <f t="shared" si="74"/>
        <v>0</v>
      </c>
      <c r="V641" s="1">
        <f t="shared" si="75"/>
        <v>0</v>
      </c>
      <c r="W641" s="1">
        <f t="shared" si="76"/>
        <v>0</v>
      </c>
      <c r="X641" s="1">
        <f t="shared" si="77"/>
        <v>0</v>
      </c>
      <c r="Y641" s="1">
        <f t="shared" si="78"/>
        <v>0</v>
      </c>
      <c r="Z641" s="1">
        <f t="shared" si="79"/>
        <v>0</v>
      </c>
      <c r="AA641" s="1">
        <f t="shared" si="80"/>
        <v>0</v>
      </c>
    </row>
    <row r="642" spans="2:27" x14ac:dyDescent="0.3">
      <c r="B642" s="12"/>
      <c r="J642" s="13"/>
      <c r="T642" s="1">
        <f t="shared" si="73"/>
        <v>0</v>
      </c>
      <c r="U642" s="1">
        <f t="shared" si="74"/>
        <v>0</v>
      </c>
      <c r="V642" s="1">
        <f t="shared" si="75"/>
        <v>0</v>
      </c>
      <c r="W642" s="1">
        <f t="shared" si="76"/>
        <v>0</v>
      </c>
      <c r="X642" s="1">
        <f t="shared" si="77"/>
        <v>0</v>
      </c>
      <c r="Y642" s="1">
        <f t="shared" si="78"/>
        <v>0</v>
      </c>
      <c r="Z642" s="1">
        <f t="shared" si="79"/>
        <v>0</v>
      </c>
      <c r="AA642" s="1">
        <f t="shared" si="80"/>
        <v>0</v>
      </c>
    </row>
    <row r="643" spans="2:27" x14ac:dyDescent="0.3">
      <c r="B643" s="12"/>
      <c r="J643" s="13"/>
      <c r="T643" s="1">
        <f t="shared" si="73"/>
        <v>0</v>
      </c>
      <c r="U643" s="1">
        <f t="shared" si="74"/>
        <v>0</v>
      </c>
      <c r="V643" s="1">
        <f t="shared" si="75"/>
        <v>0</v>
      </c>
      <c r="W643" s="1">
        <f t="shared" si="76"/>
        <v>0</v>
      </c>
      <c r="X643" s="1">
        <f t="shared" si="77"/>
        <v>0</v>
      </c>
      <c r="Y643" s="1">
        <f t="shared" si="78"/>
        <v>0</v>
      </c>
      <c r="Z643" s="1">
        <f t="shared" si="79"/>
        <v>0</v>
      </c>
      <c r="AA643" s="1">
        <f t="shared" si="80"/>
        <v>0</v>
      </c>
    </row>
    <row r="644" spans="2:27" x14ac:dyDescent="0.3">
      <c r="B644" s="12"/>
      <c r="J644" s="13"/>
      <c r="T644" s="1">
        <f t="shared" si="73"/>
        <v>0</v>
      </c>
      <c r="U644" s="1">
        <f t="shared" si="74"/>
        <v>0</v>
      </c>
      <c r="V644" s="1">
        <f t="shared" si="75"/>
        <v>0</v>
      </c>
      <c r="W644" s="1">
        <f t="shared" si="76"/>
        <v>0</v>
      </c>
      <c r="X644" s="1">
        <f t="shared" si="77"/>
        <v>0</v>
      </c>
      <c r="Y644" s="1">
        <f t="shared" si="78"/>
        <v>0</v>
      </c>
      <c r="Z644" s="1">
        <f t="shared" si="79"/>
        <v>0</v>
      </c>
      <c r="AA644" s="1">
        <f t="shared" si="80"/>
        <v>0</v>
      </c>
    </row>
    <row r="645" spans="2:27" x14ac:dyDescent="0.3">
      <c r="B645" s="12"/>
      <c r="J645" s="13"/>
      <c r="T645" s="1">
        <f t="shared" si="73"/>
        <v>0</v>
      </c>
      <c r="U645" s="1">
        <f t="shared" si="74"/>
        <v>0</v>
      </c>
      <c r="V645" s="1">
        <f t="shared" si="75"/>
        <v>0</v>
      </c>
      <c r="W645" s="1">
        <f t="shared" si="76"/>
        <v>0</v>
      </c>
      <c r="X645" s="1">
        <f t="shared" si="77"/>
        <v>0</v>
      </c>
      <c r="Y645" s="1">
        <f t="shared" si="78"/>
        <v>0</v>
      </c>
      <c r="Z645" s="1">
        <f t="shared" si="79"/>
        <v>0</v>
      </c>
      <c r="AA645" s="1">
        <f t="shared" si="80"/>
        <v>0</v>
      </c>
    </row>
    <row r="646" spans="2:27" x14ac:dyDescent="0.3">
      <c r="B646" s="12"/>
      <c r="J646" s="13"/>
      <c r="T646" s="1">
        <f t="shared" si="73"/>
        <v>0</v>
      </c>
      <c r="U646" s="1">
        <f t="shared" si="74"/>
        <v>0</v>
      </c>
      <c r="V646" s="1">
        <f t="shared" si="75"/>
        <v>0</v>
      </c>
      <c r="W646" s="1">
        <f t="shared" si="76"/>
        <v>0</v>
      </c>
      <c r="X646" s="1">
        <f t="shared" si="77"/>
        <v>0</v>
      </c>
      <c r="Y646" s="1">
        <f t="shared" si="78"/>
        <v>0</v>
      </c>
      <c r="Z646" s="1">
        <f t="shared" si="79"/>
        <v>0</v>
      </c>
      <c r="AA646" s="1">
        <f t="shared" si="80"/>
        <v>0</v>
      </c>
    </row>
    <row r="647" spans="2:27" x14ac:dyDescent="0.3">
      <c r="B647" s="12"/>
      <c r="J647" s="13"/>
      <c r="T647" s="1">
        <f t="shared" ref="T647:T710" si="81">IF(AND(G647="-"),0,G647*F647)</f>
        <v>0</v>
      </c>
      <c r="U647" s="1">
        <f t="shared" ref="U647:U710" si="82">IF(AND(O647="-"),0,O647*N647)</f>
        <v>0</v>
      </c>
      <c r="V647" s="1">
        <f t="shared" ref="V647:V710" si="83">IFERROR(C647*H647,0)</f>
        <v>0</v>
      </c>
      <c r="W647" s="1">
        <f t="shared" ref="W647:W710" si="84">IFERROR(K647*P647,0)</f>
        <v>0</v>
      </c>
      <c r="X647" s="1">
        <f t="shared" ref="X647:X710" si="85">IFERROR(G647*1,0)</f>
        <v>0</v>
      </c>
      <c r="Y647" s="1">
        <f t="shared" ref="Y647:Y710" si="86">IFERROR(O647*1,0)</f>
        <v>0</v>
      </c>
      <c r="Z647" s="1">
        <f t="shared" ref="Z647:Z710" si="87">IFERROR(H647*1,0)</f>
        <v>0</v>
      </c>
      <c r="AA647" s="1">
        <f t="shared" ref="AA647:AA710" si="88">IFERROR(P647*1,0)</f>
        <v>0</v>
      </c>
    </row>
    <row r="648" spans="2:27" x14ac:dyDescent="0.3">
      <c r="B648" s="12"/>
      <c r="J648" s="13"/>
      <c r="T648" s="1">
        <f t="shared" si="81"/>
        <v>0</v>
      </c>
      <c r="U648" s="1">
        <f t="shared" si="82"/>
        <v>0</v>
      </c>
      <c r="V648" s="1">
        <f t="shared" si="83"/>
        <v>0</v>
      </c>
      <c r="W648" s="1">
        <f t="shared" si="84"/>
        <v>0</v>
      </c>
      <c r="X648" s="1">
        <f t="shared" si="85"/>
        <v>0</v>
      </c>
      <c r="Y648" s="1">
        <f t="shared" si="86"/>
        <v>0</v>
      </c>
      <c r="Z648" s="1">
        <f t="shared" si="87"/>
        <v>0</v>
      </c>
      <c r="AA648" s="1">
        <f t="shared" si="88"/>
        <v>0</v>
      </c>
    </row>
    <row r="649" spans="2:27" x14ac:dyDescent="0.3">
      <c r="B649" s="12"/>
      <c r="J649" s="13"/>
      <c r="T649" s="1">
        <f t="shared" si="81"/>
        <v>0</v>
      </c>
      <c r="U649" s="1">
        <f t="shared" si="82"/>
        <v>0</v>
      </c>
      <c r="V649" s="1">
        <f t="shared" si="83"/>
        <v>0</v>
      </c>
      <c r="W649" s="1">
        <f t="shared" si="84"/>
        <v>0</v>
      </c>
      <c r="X649" s="1">
        <f t="shared" si="85"/>
        <v>0</v>
      </c>
      <c r="Y649" s="1">
        <f t="shared" si="86"/>
        <v>0</v>
      </c>
      <c r="Z649" s="1">
        <f t="shared" si="87"/>
        <v>0</v>
      </c>
      <c r="AA649" s="1">
        <f t="shared" si="88"/>
        <v>0</v>
      </c>
    </row>
    <row r="650" spans="2:27" x14ac:dyDescent="0.3">
      <c r="B650" s="12"/>
      <c r="J650" s="13"/>
      <c r="T650" s="1">
        <f t="shared" si="81"/>
        <v>0</v>
      </c>
      <c r="U650" s="1">
        <f t="shared" si="82"/>
        <v>0</v>
      </c>
      <c r="V650" s="1">
        <f t="shared" si="83"/>
        <v>0</v>
      </c>
      <c r="W650" s="1">
        <f t="shared" si="84"/>
        <v>0</v>
      </c>
      <c r="X650" s="1">
        <f t="shared" si="85"/>
        <v>0</v>
      </c>
      <c r="Y650" s="1">
        <f t="shared" si="86"/>
        <v>0</v>
      </c>
      <c r="Z650" s="1">
        <f t="shared" si="87"/>
        <v>0</v>
      </c>
      <c r="AA650" s="1">
        <f t="shared" si="88"/>
        <v>0</v>
      </c>
    </row>
    <row r="651" spans="2:27" x14ac:dyDescent="0.3">
      <c r="B651" s="12"/>
      <c r="J651" s="13"/>
      <c r="T651" s="1">
        <f t="shared" si="81"/>
        <v>0</v>
      </c>
      <c r="U651" s="1">
        <f t="shared" si="82"/>
        <v>0</v>
      </c>
      <c r="V651" s="1">
        <f t="shared" si="83"/>
        <v>0</v>
      </c>
      <c r="W651" s="1">
        <f t="shared" si="84"/>
        <v>0</v>
      </c>
      <c r="X651" s="1">
        <f t="shared" si="85"/>
        <v>0</v>
      </c>
      <c r="Y651" s="1">
        <f t="shared" si="86"/>
        <v>0</v>
      </c>
      <c r="Z651" s="1">
        <f t="shared" si="87"/>
        <v>0</v>
      </c>
      <c r="AA651" s="1">
        <f t="shared" si="88"/>
        <v>0</v>
      </c>
    </row>
    <row r="652" spans="2:27" x14ac:dyDescent="0.3">
      <c r="B652" s="12"/>
      <c r="J652" s="13"/>
      <c r="T652" s="1">
        <f t="shared" si="81"/>
        <v>0</v>
      </c>
      <c r="U652" s="1">
        <f t="shared" si="82"/>
        <v>0</v>
      </c>
      <c r="V652" s="1">
        <f t="shared" si="83"/>
        <v>0</v>
      </c>
      <c r="W652" s="1">
        <f t="shared" si="84"/>
        <v>0</v>
      </c>
      <c r="X652" s="1">
        <f t="shared" si="85"/>
        <v>0</v>
      </c>
      <c r="Y652" s="1">
        <f t="shared" si="86"/>
        <v>0</v>
      </c>
      <c r="Z652" s="1">
        <f t="shared" si="87"/>
        <v>0</v>
      </c>
      <c r="AA652" s="1">
        <f t="shared" si="88"/>
        <v>0</v>
      </c>
    </row>
    <row r="653" spans="2:27" x14ac:dyDescent="0.3">
      <c r="B653" s="12"/>
      <c r="J653" s="13"/>
      <c r="T653" s="1">
        <f t="shared" si="81"/>
        <v>0</v>
      </c>
      <c r="U653" s="1">
        <f t="shared" si="82"/>
        <v>0</v>
      </c>
      <c r="V653" s="1">
        <f t="shared" si="83"/>
        <v>0</v>
      </c>
      <c r="W653" s="1">
        <f t="shared" si="84"/>
        <v>0</v>
      </c>
      <c r="X653" s="1">
        <f t="shared" si="85"/>
        <v>0</v>
      </c>
      <c r="Y653" s="1">
        <f t="shared" si="86"/>
        <v>0</v>
      </c>
      <c r="Z653" s="1">
        <f t="shared" si="87"/>
        <v>0</v>
      </c>
      <c r="AA653" s="1">
        <f t="shared" si="88"/>
        <v>0</v>
      </c>
    </row>
    <row r="654" spans="2:27" x14ac:dyDescent="0.3">
      <c r="B654" s="12"/>
      <c r="J654" s="13"/>
      <c r="T654" s="1">
        <f t="shared" si="81"/>
        <v>0</v>
      </c>
      <c r="U654" s="1">
        <f t="shared" si="82"/>
        <v>0</v>
      </c>
      <c r="V654" s="1">
        <f t="shared" si="83"/>
        <v>0</v>
      </c>
      <c r="W654" s="1">
        <f t="shared" si="84"/>
        <v>0</v>
      </c>
      <c r="X654" s="1">
        <f t="shared" si="85"/>
        <v>0</v>
      </c>
      <c r="Y654" s="1">
        <f t="shared" si="86"/>
        <v>0</v>
      </c>
      <c r="Z654" s="1">
        <f t="shared" si="87"/>
        <v>0</v>
      </c>
      <c r="AA654" s="1">
        <f t="shared" si="88"/>
        <v>0</v>
      </c>
    </row>
    <row r="655" spans="2:27" x14ac:dyDescent="0.3">
      <c r="B655" s="12"/>
      <c r="J655" s="13"/>
      <c r="T655" s="1">
        <f t="shared" si="81"/>
        <v>0</v>
      </c>
      <c r="U655" s="1">
        <f t="shared" si="82"/>
        <v>0</v>
      </c>
      <c r="V655" s="1">
        <f t="shared" si="83"/>
        <v>0</v>
      </c>
      <c r="W655" s="1">
        <f t="shared" si="84"/>
        <v>0</v>
      </c>
      <c r="X655" s="1">
        <f t="shared" si="85"/>
        <v>0</v>
      </c>
      <c r="Y655" s="1">
        <f t="shared" si="86"/>
        <v>0</v>
      </c>
      <c r="Z655" s="1">
        <f t="shared" si="87"/>
        <v>0</v>
      </c>
      <c r="AA655" s="1">
        <f t="shared" si="88"/>
        <v>0</v>
      </c>
    </row>
    <row r="656" spans="2:27" x14ac:dyDescent="0.3">
      <c r="B656" s="12"/>
      <c r="J656" s="13"/>
      <c r="T656" s="1">
        <f t="shared" si="81"/>
        <v>0</v>
      </c>
      <c r="U656" s="1">
        <f t="shared" si="82"/>
        <v>0</v>
      </c>
      <c r="V656" s="1">
        <f t="shared" si="83"/>
        <v>0</v>
      </c>
      <c r="W656" s="1">
        <f t="shared" si="84"/>
        <v>0</v>
      </c>
      <c r="X656" s="1">
        <f t="shared" si="85"/>
        <v>0</v>
      </c>
      <c r="Y656" s="1">
        <f t="shared" si="86"/>
        <v>0</v>
      </c>
      <c r="Z656" s="1">
        <f t="shared" si="87"/>
        <v>0</v>
      </c>
      <c r="AA656" s="1">
        <f t="shared" si="88"/>
        <v>0</v>
      </c>
    </row>
    <row r="657" spans="2:27" x14ac:dyDescent="0.3">
      <c r="B657" s="12"/>
      <c r="J657" s="13"/>
      <c r="T657" s="1">
        <f t="shared" si="81"/>
        <v>0</v>
      </c>
      <c r="U657" s="1">
        <f t="shared" si="82"/>
        <v>0</v>
      </c>
      <c r="V657" s="1">
        <f t="shared" si="83"/>
        <v>0</v>
      </c>
      <c r="W657" s="1">
        <f t="shared" si="84"/>
        <v>0</v>
      </c>
      <c r="X657" s="1">
        <f t="shared" si="85"/>
        <v>0</v>
      </c>
      <c r="Y657" s="1">
        <f t="shared" si="86"/>
        <v>0</v>
      </c>
      <c r="Z657" s="1">
        <f t="shared" si="87"/>
        <v>0</v>
      </c>
      <c r="AA657" s="1">
        <f t="shared" si="88"/>
        <v>0</v>
      </c>
    </row>
    <row r="658" spans="2:27" x14ac:dyDescent="0.3">
      <c r="B658" s="12"/>
      <c r="J658" s="13"/>
      <c r="T658" s="1">
        <f t="shared" si="81"/>
        <v>0</v>
      </c>
      <c r="U658" s="1">
        <f t="shared" si="82"/>
        <v>0</v>
      </c>
      <c r="V658" s="1">
        <f t="shared" si="83"/>
        <v>0</v>
      </c>
      <c r="W658" s="1">
        <f t="shared" si="84"/>
        <v>0</v>
      </c>
      <c r="X658" s="1">
        <f t="shared" si="85"/>
        <v>0</v>
      </c>
      <c r="Y658" s="1">
        <f t="shared" si="86"/>
        <v>0</v>
      </c>
      <c r="Z658" s="1">
        <f t="shared" si="87"/>
        <v>0</v>
      </c>
      <c r="AA658" s="1">
        <f t="shared" si="88"/>
        <v>0</v>
      </c>
    </row>
    <row r="659" spans="2:27" x14ac:dyDescent="0.3">
      <c r="B659" s="12"/>
      <c r="J659" s="13"/>
      <c r="T659" s="1">
        <f t="shared" si="81"/>
        <v>0</v>
      </c>
      <c r="U659" s="1">
        <f t="shared" si="82"/>
        <v>0</v>
      </c>
      <c r="V659" s="1">
        <f t="shared" si="83"/>
        <v>0</v>
      </c>
      <c r="W659" s="1">
        <f t="shared" si="84"/>
        <v>0</v>
      </c>
      <c r="X659" s="1">
        <f t="shared" si="85"/>
        <v>0</v>
      </c>
      <c r="Y659" s="1">
        <f t="shared" si="86"/>
        <v>0</v>
      </c>
      <c r="Z659" s="1">
        <f t="shared" si="87"/>
        <v>0</v>
      </c>
      <c r="AA659" s="1">
        <f t="shared" si="88"/>
        <v>0</v>
      </c>
    </row>
    <row r="660" spans="2:27" x14ac:dyDescent="0.3">
      <c r="B660" s="12"/>
      <c r="J660" s="13"/>
      <c r="T660" s="1">
        <f t="shared" si="81"/>
        <v>0</v>
      </c>
      <c r="U660" s="1">
        <f t="shared" si="82"/>
        <v>0</v>
      </c>
      <c r="V660" s="1">
        <f t="shared" si="83"/>
        <v>0</v>
      </c>
      <c r="W660" s="1">
        <f t="shared" si="84"/>
        <v>0</v>
      </c>
      <c r="X660" s="1">
        <f t="shared" si="85"/>
        <v>0</v>
      </c>
      <c r="Y660" s="1">
        <f t="shared" si="86"/>
        <v>0</v>
      </c>
      <c r="Z660" s="1">
        <f t="shared" si="87"/>
        <v>0</v>
      </c>
      <c r="AA660" s="1">
        <f t="shared" si="88"/>
        <v>0</v>
      </c>
    </row>
    <row r="661" spans="2:27" x14ac:dyDescent="0.3">
      <c r="B661" s="12"/>
      <c r="J661" s="13"/>
      <c r="T661" s="1">
        <f t="shared" si="81"/>
        <v>0</v>
      </c>
      <c r="U661" s="1">
        <f t="shared" si="82"/>
        <v>0</v>
      </c>
      <c r="V661" s="1">
        <f t="shared" si="83"/>
        <v>0</v>
      </c>
      <c r="W661" s="1">
        <f t="shared" si="84"/>
        <v>0</v>
      </c>
      <c r="X661" s="1">
        <f t="shared" si="85"/>
        <v>0</v>
      </c>
      <c r="Y661" s="1">
        <f t="shared" si="86"/>
        <v>0</v>
      </c>
      <c r="Z661" s="1">
        <f t="shared" si="87"/>
        <v>0</v>
      </c>
      <c r="AA661" s="1">
        <f t="shared" si="88"/>
        <v>0</v>
      </c>
    </row>
    <row r="662" spans="2:27" x14ac:dyDescent="0.3">
      <c r="B662" s="12"/>
      <c r="J662" s="13"/>
      <c r="T662" s="1">
        <f t="shared" si="81"/>
        <v>0</v>
      </c>
      <c r="U662" s="1">
        <f t="shared" si="82"/>
        <v>0</v>
      </c>
      <c r="V662" s="1">
        <f t="shared" si="83"/>
        <v>0</v>
      </c>
      <c r="W662" s="1">
        <f t="shared" si="84"/>
        <v>0</v>
      </c>
      <c r="X662" s="1">
        <f t="shared" si="85"/>
        <v>0</v>
      </c>
      <c r="Y662" s="1">
        <f t="shared" si="86"/>
        <v>0</v>
      </c>
      <c r="Z662" s="1">
        <f t="shared" si="87"/>
        <v>0</v>
      </c>
      <c r="AA662" s="1">
        <f t="shared" si="88"/>
        <v>0</v>
      </c>
    </row>
    <row r="663" spans="2:27" x14ac:dyDescent="0.3">
      <c r="B663" s="12"/>
      <c r="J663" s="13"/>
      <c r="T663" s="1">
        <f t="shared" si="81"/>
        <v>0</v>
      </c>
      <c r="U663" s="1">
        <f t="shared" si="82"/>
        <v>0</v>
      </c>
      <c r="V663" s="1">
        <f t="shared" si="83"/>
        <v>0</v>
      </c>
      <c r="W663" s="1">
        <f t="shared" si="84"/>
        <v>0</v>
      </c>
      <c r="X663" s="1">
        <f t="shared" si="85"/>
        <v>0</v>
      </c>
      <c r="Y663" s="1">
        <f t="shared" si="86"/>
        <v>0</v>
      </c>
      <c r="Z663" s="1">
        <f t="shared" si="87"/>
        <v>0</v>
      </c>
      <c r="AA663" s="1">
        <f t="shared" si="88"/>
        <v>0</v>
      </c>
    </row>
    <row r="664" spans="2:27" x14ac:dyDescent="0.3">
      <c r="B664" s="12"/>
      <c r="J664" s="13"/>
      <c r="T664" s="1">
        <f t="shared" si="81"/>
        <v>0</v>
      </c>
      <c r="U664" s="1">
        <f t="shared" si="82"/>
        <v>0</v>
      </c>
      <c r="V664" s="1">
        <f t="shared" si="83"/>
        <v>0</v>
      </c>
      <c r="W664" s="1">
        <f t="shared" si="84"/>
        <v>0</v>
      </c>
      <c r="X664" s="1">
        <f t="shared" si="85"/>
        <v>0</v>
      </c>
      <c r="Y664" s="1">
        <f t="shared" si="86"/>
        <v>0</v>
      </c>
      <c r="Z664" s="1">
        <f t="shared" si="87"/>
        <v>0</v>
      </c>
      <c r="AA664" s="1">
        <f t="shared" si="88"/>
        <v>0</v>
      </c>
    </row>
    <row r="665" spans="2:27" x14ac:dyDescent="0.3">
      <c r="B665" s="12"/>
      <c r="J665" s="13"/>
      <c r="T665" s="1">
        <f t="shared" si="81"/>
        <v>0</v>
      </c>
      <c r="U665" s="1">
        <f t="shared" si="82"/>
        <v>0</v>
      </c>
      <c r="V665" s="1">
        <f t="shared" si="83"/>
        <v>0</v>
      </c>
      <c r="W665" s="1">
        <f t="shared" si="84"/>
        <v>0</v>
      </c>
      <c r="X665" s="1">
        <f t="shared" si="85"/>
        <v>0</v>
      </c>
      <c r="Y665" s="1">
        <f t="shared" si="86"/>
        <v>0</v>
      </c>
      <c r="Z665" s="1">
        <f t="shared" si="87"/>
        <v>0</v>
      </c>
      <c r="AA665" s="1">
        <f t="shared" si="88"/>
        <v>0</v>
      </c>
    </row>
    <row r="666" spans="2:27" x14ac:dyDescent="0.3">
      <c r="B666" s="12"/>
      <c r="J666" s="13"/>
      <c r="T666" s="1">
        <f t="shared" si="81"/>
        <v>0</v>
      </c>
      <c r="U666" s="1">
        <f t="shared" si="82"/>
        <v>0</v>
      </c>
      <c r="V666" s="1">
        <f t="shared" si="83"/>
        <v>0</v>
      </c>
      <c r="W666" s="1">
        <f t="shared" si="84"/>
        <v>0</v>
      </c>
      <c r="X666" s="1">
        <f t="shared" si="85"/>
        <v>0</v>
      </c>
      <c r="Y666" s="1">
        <f t="shared" si="86"/>
        <v>0</v>
      </c>
      <c r="Z666" s="1">
        <f t="shared" si="87"/>
        <v>0</v>
      </c>
      <c r="AA666" s="1">
        <f t="shared" si="88"/>
        <v>0</v>
      </c>
    </row>
    <row r="667" spans="2:27" x14ac:dyDescent="0.3">
      <c r="B667" s="12"/>
      <c r="J667" s="13"/>
      <c r="T667" s="1">
        <f t="shared" si="81"/>
        <v>0</v>
      </c>
      <c r="U667" s="1">
        <f t="shared" si="82"/>
        <v>0</v>
      </c>
      <c r="V667" s="1">
        <f t="shared" si="83"/>
        <v>0</v>
      </c>
      <c r="W667" s="1">
        <f t="shared" si="84"/>
        <v>0</v>
      </c>
      <c r="X667" s="1">
        <f t="shared" si="85"/>
        <v>0</v>
      </c>
      <c r="Y667" s="1">
        <f t="shared" si="86"/>
        <v>0</v>
      </c>
      <c r="Z667" s="1">
        <f t="shared" si="87"/>
        <v>0</v>
      </c>
      <c r="AA667" s="1">
        <f t="shared" si="88"/>
        <v>0</v>
      </c>
    </row>
    <row r="668" spans="2:27" x14ac:dyDescent="0.3">
      <c r="B668" s="12"/>
      <c r="J668" s="13"/>
      <c r="T668" s="1">
        <f t="shared" si="81"/>
        <v>0</v>
      </c>
      <c r="U668" s="1">
        <f t="shared" si="82"/>
        <v>0</v>
      </c>
      <c r="V668" s="1">
        <f t="shared" si="83"/>
        <v>0</v>
      </c>
      <c r="W668" s="1">
        <f t="shared" si="84"/>
        <v>0</v>
      </c>
      <c r="X668" s="1">
        <f t="shared" si="85"/>
        <v>0</v>
      </c>
      <c r="Y668" s="1">
        <f t="shared" si="86"/>
        <v>0</v>
      </c>
      <c r="Z668" s="1">
        <f t="shared" si="87"/>
        <v>0</v>
      </c>
      <c r="AA668" s="1">
        <f t="shared" si="88"/>
        <v>0</v>
      </c>
    </row>
    <row r="669" spans="2:27" x14ac:dyDescent="0.3">
      <c r="B669" s="12"/>
      <c r="J669" s="13"/>
      <c r="T669" s="1">
        <f t="shared" si="81"/>
        <v>0</v>
      </c>
      <c r="U669" s="1">
        <f t="shared" si="82"/>
        <v>0</v>
      </c>
      <c r="V669" s="1">
        <f t="shared" si="83"/>
        <v>0</v>
      </c>
      <c r="W669" s="1">
        <f t="shared" si="84"/>
        <v>0</v>
      </c>
      <c r="X669" s="1">
        <f t="shared" si="85"/>
        <v>0</v>
      </c>
      <c r="Y669" s="1">
        <f t="shared" si="86"/>
        <v>0</v>
      </c>
      <c r="Z669" s="1">
        <f t="shared" si="87"/>
        <v>0</v>
      </c>
      <c r="AA669" s="1">
        <f t="shared" si="88"/>
        <v>0</v>
      </c>
    </row>
    <row r="670" spans="2:27" x14ac:dyDescent="0.3">
      <c r="B670" s="12"/>
      <c r="J670" s="13"/>
      <c r="T670" s="1">
        <f t="shared" si="81"/>
        <v>0</v>
      </c>
      <c r="U670" s="1">
        <f t="shared" si="82"/>
        <v>0</v>
      </c>
      <c r="V670" s="1">
        <f t="shared" si="83"/>
        <v>0</v>
      </c>
      <c r="W670" s="1">
        <f t="shared" si="84"/>
        <v>0</v>
      </c>
      <c r="X670" s="1">
        <f t="shared" si="85"/>
        <v>0</v>
      </c>
      <c r="Y670" s="1">
        <f t="shared" si="86"/>
        <v>0</v>
      </c>
      <c r="Z670" s="1">
        <f t="shared" si="87"/>
        <v>0</v>
      </c>
      <c r="AA670" s="1">
        <f t="shared" si="88"/>
        <v>0</v>
      </c>
    </row>
    <row r="671" spans="2:27" x14ac:dyDescent="0.3">
      <c r="B671" s="12"/>
      <c r="J671" s="13"/>
      <c r="T671" s="1">
        <f t="shared" si="81"/>
        <v>0</v>
      </c>
      <c r="U671" s="1">
        <f t="shared" si="82"/>
        <v>0</v>
      </c>
      <c r="V671" s="1">
        <f t="shared" si="83"/>
        <v>0</v>
      </c>
      <c r="W671" s="1">
        <f t="shared" si="84"/>
        <v>0</v>
      </c>
      <c r="X671" s="1">
        <f t="shared" si="85"/>
        <v>0</v>
      </c>
      <c r="Y671" s="1">
        <f t="shared" si="86"/>
        <v>0</v>
      </c>
      <c r="Z671" s="1">
        <f t="shared" si="87"/>
        <v>0</v>
      </c>
      <c r="AA671" s="1">
        <f t="shared" si="88"/>
        <v>0</v>
      </c>
    </row>
    <row r="672" spans="2:27" x14ac:dyDescent="0.3">
      <c r="B672" s="12"/>
      <c r="J672" s="13"/>
      <c r="T672" s="1">
        <f t="shared" si="81"/>
        <v>0</v>
      </c>
      <c r="U672" s="1">
        <f t="shared" si="82"/>
        <v>0</v>
      </c>
      <c r="V672" s="1">
        <f t="shared" si="83"/>
        <v>0</v>
      </c>
      <c r="W672" s="1">
        <f t="shared" si="84"/>
        <v>0</v>
      </c>
      <c r="X672" s="1">
        <f t="shared" si="85"/>
        <v>0</v>
      </c>
      <c r="Y672" s="1">
        <f t="shared" si="86"/>
        <v>0</v>
      </c>
      <c r="Z672" s="1">
        <f t="shared" si="87"/>
        <v>0</v>
      </c>
      <c r="AA672" s="1">
        <f t="shared" si="88"/>
        <v>0</v>
      </c>
    </row>
    <row r="673" spans="2:27" x14ac:dyDescent="0.3">
      <c r="B673" s="12"/>
      <c r="J673" s="13"/>
      <c r="T673" s="1">
        <f t="shared" si="81"/>
        <v>0</v>
      </c>
      <c r="U673" s="1">
        <f t="shared" si="82"/>
        <v>0</v>
      </c>
      <c r="V673" s="1">
        <f t="shared" si="83"/>
        <v>0</v>
      </c>
      <c r="W673" s="1">
        <f t="shared" si="84"/>
        <v>0</v>
      </c>
      <c r="X673" s="1">
        <f t="shared" si="85"/>
        <v>0</v>
      </c>
      <c r="Y673" s="1">
        <f t="shared" si="86"/>
        <v>0</v>
      </c>
      <c r="Z673" s="1">
        <f t="shared" si="87"/>
        <v>0</v>
      </c>
      <c r="AA673" s="1">
        <f t="shared" si="88"/>
        <v>0</v>
      </c>
    </row>
    <row r="674" spans="2:27" x14ac:dyDescent="0.3">
      <c r="B674" s="12"/>
      <c r="J674" s="13"/>
      <c r="T674" s="1">
        <f t="shared" si="81"/>
        <v>0</v>
      </c>
      <c r="U674" s="1">
        <f t="shared" si="82"/>
        <v>0</v>
      </c>
      <c r="V674" s="1">
        <f t="shared" si="83"/>
        <v>0</v>
      </c>
      <c r="W674" s="1">
        <f t="shared" si="84"/>
        <v>0</v>
      </c>
      <c r="X674" s="1">
        <f t="shared" si="85"/>
        <v>0</v>
      </c>
      <c r="Y674" s="1">
        <f t="shared" si="86"/>
        <v>0</v>
      </c>
      <c r="Z674" s="1">
        <f t="shared" si="87"/>
        <v>0</v>
      </c>
      <c r="AA674" s="1">
        <f t="shared" si="88"/>
        <v>0</v>
      </c>
    </row>
    <row r="675" spans="2:27" x14ac:dyDescent="0.3">
      <c r="B675" s="12"/>
      <c r="J675" s="13"/>
      <c r="T675" s="1">
        <f t="shared" si="81"/>
        <v>0</v>
      </c>
      <c r="U675" s="1">
        <f t="shared" si="82"/>
        <v>0</v>
      </c>
      <c r="V675" s="1">
        <f t="shared" si="83"/>
        <v>0</v>
      </c>
      <c r="W675" s="1">
        <f t="shared" si="84"/>
        <v>0</v>
      </c>
      <c r="X675" s="1">
        <f t="shared" si="85"/>
        <v>0</v>
      </c>
      <c r="Y675" s="1">
        <f t="shared" si="86"/>
        <v>0</v>
      </c>
      <c r="Z675" s="1">
        <f t="shared" si="87"/>
        <v>0</v>
      </c>
      <c r="AA675" s="1">
        <f t="shared" si="88"/>
        <v>0</v>
      </c>
    </row>
    <row r="676" spans="2:27" x14ac:dyDescent="0.3">
      <c r="B676" s="12"/>
      <c r="J676" s="13"/>
      <c r="T676" s="1">
        <f t="shared" si="81"/>
        <v>0</v>
      </c>
      <c r="U676" s="1">
        <f t="shared" si="82"/>
        <v>0</v>
      </c>
      <c r="V676" s="1">
        <f t="shared" si="83"/>
        <v>0</v>
      </c>
      <c r="W676" s="1">
        <f t="shared" si="84"/>
        <v>0</v>
      </c>
      <c r="X676" s="1">
        <f t="shared" si="85"/>
        <v>0</v>
      </c>
      <c r="Y676" s="1">
        <f t="shared" si="86"/>
        <v>0</v>
      </c>
      <c r="Z676" s="1">
        <f t="shared" si="87"/>
        <v>0</v>
      </c>
      <c r="AA676" s="1">
        <f t="shared" si="88"/>
        <v>0</v>
      </c>
    </row>
    <row r="677" spans="2:27" x14ac:dyDescent="0.3">
      <c r="B677" s="12"/>
      <c r="J677" s="13"/>
      <c r="T677" s="1">
        <f t="shared" si="81"/>
        <v>0</v>
      </c>
      <c r="U677" s="1">
        <f t="shared" si="82"/>
        <v>0</v>
      </c>
      <c r="V677" s="1">
        <f t="shared" si="83"/>
        <v>0</v>
      </c>
      <c r="W677" s="1">
        <f t="shared" si="84"/>
        <v>0</v>
      </c>
      <c r="X677" s="1">
        <f t="shared" si="85"/>
        <v>0</v>
      </c>
      <c r="Y677" s="1">
        <f t="shared" si="86"/>
        <v>0</v>
      </c>
      <c r="Z677" s="1">
        <f t="shared" si="87"/>
        <v>0</v>
      </c>
      <c r="AA677" s="1">
        <f t="shared" si="88"/>
        <v>0</v>
      </c>
    </row>
    <row r="678" spans="2:27" x14ac:dyDescent="0.3">
      <c r="B678" s="12"/>
      <c r="J678" s="13"/>
      <c r="T678" s="1">
        <f t="shared" si="81"/>
        <v>0</v>
      </c>
      <c r="U678" s="1">
        <f t="shared" si="82"/>
        <v>0</v>
      </c>
      <c r="V678" s="1">
        <f t="shared" si="83"/>
        <v>0</v>
      </c>
      <c r="W678" s="1">
        <f t="shared" si="84"/>
        <v>0</v>
      </c>
      <c r="X678" s="1">
        <f t="shared" si="85"/>
        <v>0</v>
      </c>
      <c r="Y678" s="1">
        <f t="shared" si="86"/>
        <v>0</v>
      </c>
      <c r="Z678" s="1">
        <f t="shared" si="87"/>
        <v>0</v>
      </c>
      <c r="AA678" s="1">
        <f t="shared" si="88"/>
        <v>0</v>
      </c>
    </row>
    <row r="679" spans="2:27" x14ac:dyDescent="0.3">
      <c r="B679" s="12"/>
      <c r="J679" s="13"/>
      <c r="T679" s="1">
        <f t="shared" si="81"/>
        <v>0</v>
      </c>
      <c r="U679" s="1">
        <f t="shared" si="82"/>
        <v>0</v>
      </c>
      <c r="V679" s="1">
        <f t="shared" si="83"/>
        <v>0</v>
      </c>
      <c r="W679" s="1">
        <f t="shared" si="84"/>
        <v>0</v>
      </c>
      <c r="X679" s="1">
        <f t="shared" si="85"/>
        <v>0</v>
      </c>
      <c r="Y679" s="1">
        <f t="shared" si="86"/>
        <v>0</v>
      </c>
      <c r="Z679" s="1">
        <f t="shared" si="87"/>
        <v>0</v>
      </c>
      <c r="AA679" s="1">
        <f t="shared" si="88"/>
        <v>0</v>
      </c>
    </row>
    <row r="680" spans="2:27" x14ac:dyDescent="0.3">
      <c r="B680" s="12"/>
      <c r="J680" s="13"/>
      <c r="T680" s="1">
        <f t="shared" si="81"/>
        <v>0</v>
      </c>
      <c r="U680" s="1">
        <f t="shared" si="82"/>
        <v>0</v>
      </c>
      <c r="V680" s="1">
        <f t="shared" si="83"/>
        <v>0</v>
      </c>
      <c r="W680" s="1">
        <f t="shared" si="84"/>
        <v>0</v>
      </c>
      <c r="X680" s="1">
        <f t="shared" si="85"/>
        <v>0</v>
      </c>
      <c r="Y680" s="1">
        <f t="shared" si="86"/>
        <v>0</v>
      </c>
      <c r="Z680" s="1">
        <f t="shared" si="87"/>
        <v>0</v>
      </c>
      <c r="AA680" s="1">
        <f t="shared" si="88"/>
        <v>0</v>
      </c>
    </row>
    <row r="681" spans="2:27" x14ac:dyDescent="0.3">
      <c r="B681" s="12"/>
      <c r="J681" s="13"/>
      <c r="T681" s="1">
        <f t="shared" si="81"/>
        <v>0</v>
      </c>
      <c r="U681" s="1">
        <f t="shared" si="82"/>
        <v>0</v>
      </c>
      <c r="V681" s="1">
        <f t="shared" si="83"/>
        <v>0</v>
      </c>
      <c r="W681" s="1">
        <f t="shared" si="84"/>
        <v>0</v>
      </c>
      <c r="X681" s="1">
        <f t="shared" si="85"/>
        <v>0</v>
      </c>
      <c r="Y681" s="1">
        <f t="shared" si="86"/>
        <v>0</v>
      </c>
      <c r="Z681" s="1">
        <f t="shared" si="87"/>
        <v>0</v>
      </c>
      <c r="AA681" s="1">
        <f t="shared" si="88"/>
        <v>0</v>
      </c>
    </row>
    <row r="682" spans="2:27" x14ac:dyDescent="0.3">
      <c r="B682" s="12"/>
      <c r="J682" s="13"/>
      <c r="T682" s="1">
        <f t="shared" si="81"/>
        <v>0</v>
      </c>
      <c r="U682" s="1">
        <f t="shared" si="82"/>
        <v>0</v>
      </c>
      <c r="V682" s="1">
        <f t="shared" si="83"/>
        <v>0</v>
      </c>
      <c r="W682" s="1">
        <f t="shared" si="84"/>
        <v>0</v>
      </c>
      <c r="X682" s="1">
        <f t="shared" si="85"/>
        <v>0</v>
      </c>
      <c r="Y682" s="1">
        <f t="shared" si="86"/>
        <v>0</v>
      </c>
      <c r="Z682" s="1">
        <f t="shared" si="87"/>
        <v>0</v>
      </c>
      <c r="AA682" s="1">
        <f t="shared" si="88"/>
        <v>0</v>
      </c>
    </row>
    <row r="683" spans="2:27" x14ac:dyDescent="0.3">
      <c r="B683" s="12"/>
      <c r="J683" s="13"/>
      <c r="T683" s="1">
        <f t="shared" si="81"/>
        <v>0</v>
      </c>
      <c r="U683" s="1">
        <f t="shared" si="82"/>
        <v>0</v>
      </c>
      <c r="V683" s="1">
        <f t="shared" si="83"/>
        <v>0</v>
      </c>
      <c r="W683" s="1">
        <f t="shared" si="84"/>
        <v>0</v>
      </c>
      <c r="X683" s="1">
        <f t="shared" si="85"/>
        <v>0</v>
      </c>
      <c r="Y683" s="1">
        <f t="shared" si="86"/>
        <v>0</v>
      </c>
      <c r="Z683" s="1">
        <f t="shared" si="87"/>
        <v>0</v>
      </c>
      <c r="AA683" s="1">
        <f t="shared" si="88"/>
        <v>0</v>
      </c>
    </row>
    <row r="684" spans="2:27" x14ac:dyDescent="0.3">
      <c r="B684" s="12"/>
      <c r="J684" s="13"/>
      <c r="T684" s="1">
        <f t="shared" si="81"/>
        <v>0</v>
      </c>
      <c r="U684" s="1">
        <f t="shared" si="82"/>
        <v>0</v>
      </c>
      <c r="V684" s="1">
        <f t="shared" si="83"/>
        <v>0</v>
      </c>
      <c r="W684" s="1">
        <f t="shared" si="84"/>
        <v>0</v>
      </c>
      <c r="X684" s="1">
        <f t="shared" si="85"/>
        <v>0</v>
      </c>
      <c r="Y684" s="1">
        <f t="shared" si="86"/>
        <v>0</v>
      </c>
      <c r="Z684" s="1">
        <f t="shared" si="87"/>
        <v>0</v>
      </c>
      <c r="AA684" s="1">
        <f t="shared" si="88"/>
        <v>0</v>
      </c>
    </row>
    <row r="685" spans="2:27" x14ac:dyDescent="0.3">
      <c r="B685" s="12"/>
      <c r="J685" s="13"/>
      <c r="T685" s="1">
        <f t="shared" si="81"/>
        <v>0</v>
      </c>
      <c r="U685" s="1">
        <f t="shared" si="82"/>
        <v>0</v>
      </c>
      <c r="V685" s="1">
        <f t="shared" si="83"/>
        <v>0</v>
      </c>
      <c r="W685" s="1">
        <f t="shared" si="84"/>
        <v>0</v>
      </c>
      <c r="X685" s="1">
        <f t="shared" si="85"/>
        <v>0</v>
      </c>
      <c r="Y685" s="1">
        <f t="shared" si="86"/>
        <v>0</v>
      </c>
      <c r="Z685" s="1">
        <f t="shared" si="87"/>
        <v>0</v>
      </c>
      <c r="AA685" s="1">
        <f t="shared" si="88"/>
        <v>0</v>
      </c>
    </row>
    <row r="686" spans="2:27" x14ac:dyDescent="0.3">
      <c r="B686" s="12"/>
      <c r="J686" s="13"/>
      <c r="T686" s="1">
        <f t="shared" si="81"/>
        <v>0</v>
      </c>
      <c r="U686" s="1">
        <f t="shared" si="82"/>
        <v>0</v>
      </c>
      <c r="V686" s="1">
        <f t="shared" si="83"/>
        <v>0</v>
      </c>
      <c r="W686" s="1">
        <f t="shared" si="84"/>
        <v>0</v>
      </c>
      <c r="X686" s="1">
        <f t="shared" si="85"/>
        <v>0</v>
      </c>
      <c r="Y686" s="1">
        <f t="shared" si="86"/>
        <v>0</v>
      </c>
      <c r="Z686" s="1">
        <f t="shared" si="87"/>
        <v>0</v>
      </c>
      <c r="AA686" s="1">
        <f t="shared" si="88"/>
        <v>0</v>
      </c>
    </row>
    <row r="687" spans="2:27" x14ac:dyDescent="0.3">
      <c r="B687" s="12"/>
      <c r="J687" s="13"/>
      <c r="T687" s="1">
        <f t="shared" si="81"/>
        <v>0</v>
      </c>
      <c r="U687" s="1">
        <f t="shared" si="82"/>
        <v>0</v>
      </c>
      <c r="V687" s="1">
        <f t="shared" si="83"/>
        <v>0</v>
      </c>
      <c r="W687" s="1">
        <f t="shared" si="84"/>
        <v>0</v>
      </c>
      <c r="X687" s="1">
        <f t="shared" si="85"/>
        <v>0</v>
      </c>
      <c r="Y687" s="1">
        <f t="shared" si="86"/>
        <v>0</v>
      </c>
      <c r="Z687" s="1">
        <f t="shared" si="87"/>
        <v>0</v>
      </c>
      <c r="AA687" s="1">
        <f t="shared" si="88"/>
        <v>0</v>
      </c>
    </row>
    <row r="688" spans="2:27" x14ac:dyDescent="0.3">
      <c r="B688" s="12"/>
      <c r="J688" s="13"/>
      <c r="T688" s="1">
        <f t="shared" si="81"/>
        <v>0</v>
      </c>
      <c r="U688" s="1">
        <f t="shared" si="82"/>
        <v>0</v>
      </c>
      <c r="V688" s="1">
        <f t="shared" si="83"/>
        <v>0</v>
      </c>
      <c r="W688" s="1">
        <f t="shared" si="84"/>
        <v>0</v>
      </c>
      <c r="X688" s="1">
        <f t="shared" si="85"/>
        <v>0</v>
      </c>
      <c r="Y688" s="1">
        <f t="shared" si="86"/>
        <v>0</v>
      </c>
      <c r="Z688" s="1">
        <f t="shared" si="87"/>
        <v>0</v>
      </c>
      <c r="AA688" s="1">
        <f t="shared" si="88"/>
        <v>0</v>
      </c>
    </row>
    <row r="689" spans="2:27" x14ac:dyDescent="0.3">
      <c r="B689" s="12"/>
      <c r="J689" s="13"/>
      <c r="T689" s="1">
        <f t="shared" si="81"/>
        <v>0</v>
      </c>
      <c r="U689" s="1">
        <f t="shared" si="82"/>
        <v>0</v>
      </c>
      <c r="V689" s="1">
        <f t="shared" si="83"/>
        <v>0</v>
      </c>
      <c r="W689" s="1">
        <f t="shared" si="84"/>
        <v>0</v>
      </c>
      <c r="X689" s="1">
        <f t="shared" si="85"/>
        <v>0</v>
      </c>
      <c r="Y689" s="1">
        <f t="shared" si="86"/>
        <v>0</v>
      </c>
      <c r="Z689" s="1">
        <f t="shared" si="87"/>
        <v>0</v>
      </c>
      <c r="AA689" s="1">
        <f t="shared" si="88"/>
        <v>0</v>
      </c>
    </row>
    <row r="690" spans="2:27" x14ac:dyDescent="0.3">
      <c r="B690" s="12"/>
      <c r="J690" s="13"/>
      <c r="T690" s="1">
        <f t="shared" si="81"/>
        <v>0</v>
      </c>
      <c r="U690" s="1">
        <f t="shared" si="82"/>
        <v>0</v>
      </c>
      <c r="V690" s="1">
        <f t="shared" si="83"/>
        <v>0</v>
      </c>
      <c r="W690" s="1">
        <f t="shared" si="84"/>
        <v>0</v>
      </c>
      <c r="X690" s="1">
        <f t="shared" si="85"/>
        <v>0</v>
      </c>
      <c r="Y690" s="1">
        <f t="shared" si="86"/>
        <v>0</v>
      </c>
      <c r="Z690" s="1">
        <f t="shared" si="87"/>
        <v>0</v>
      </c>
      <c r="AA690" s="1">
        <f t="shared" si="88"/>
        <v>0</v>
      </c>
    </row>
    <row r="691" spans="2:27" x14ac:dyDescent="0.3">
      <c r="B691" s="12"/>
      <c r="I691" s="14"/>
      <c r="J691" s="13"/>
      <c r="T691" s="1">
        <f t="shared" si="81"/>
        <v>0</v>
      </c>
      <c r="U691" s="1">
        <f t="shared" si="82"/>
        <v>0</v>
      </c>
      <c r="V691" s="1">
        <f t="shared" si="83"/>
        <v>0</v>
      </c>
      <c r="W691" s="1">
        <f t="shared" si="84"/>
        <v>0</v>
      </c>
      <c r="X691" s="1">
        <f t="shared" si="85"/>
        <v>0</v>
      </c>
      <c r="Y691" s="1">
        <f t="shared" si="86"/>
        <v>0</v>
      </c>
      <c r="Z691" s="1">
        <f t="shared" si="87"/>
        <v>0</v>
      </c>
      <c r="AA691" s="1">
        <f t="shared" si="88"/>
        <v>0</v>
      </c>
    </row>
    <row r="692" spans="2:27" x14ac:dyDescent="0.3">
      <c r="B692" s="12"/>
      <c r="I692" s="14"/>
      <c r="J692" s="13"/>
      <c r="T692" s="1">
        <f t="shared" si="81"/>
        <v>0</v>
      </c>
      <c r="U692" s="1">
        <f t="shared" si="82"/>
        <v>0</v>
      </c>
      <c r="V692" s="1">
        <f t="shared" si="83"/>
        <v>0</v>
      </c>
      <c r="W692" s="1">
        <f t="shared" si="84"/>
        <v>0</v>
      </c>
      <c r="X692" s="1">
        <f t="shared" si="85"/>
        <v>0</v>
      </c>
      <c r="Y692" s="1">
        <f t="shared" si="86"/>
        <v>0</v>
      </c>
      <c r="Z692" s="1">
        <f t="shared" si="87"/>
        <v>0</v>
      </c>
      <c r="AA692" s="1">
        <f t="shared" si="88"/>
        <v>0</v>
      </c>
    </row>
    <row r="693" spans="2:27" x14ac:dyDescent="0.3">
      <c r="B693" s="12"/>
      <c r="I693" s="14"/>
      <c r="J693" s="13"/>
      <c r="T693" s="1">
        <f t="shared" si="81"/>
        <v>0</v>
      </c>
      <c r="U693" s="1">
        <f t="shared" si="82"/>
        <v>0</v>
      </c>
      <c r="V693" s="1">
        <f t="shared" si="83"/>
        <v>0</v>
      </c>
      <c r="W693" s="1">
        <f t="shared" si="84"/>
        <v>0</v>
      </c>
      <c r="X693" s="1">
        <f t="shared" si="85"/>
        <v>0</v>
      </c>
      <c r="Y693" s="1">
        <f t="shared" si="86"/>
        <v>0</v>
      </c>
      <c r="Z693" s="1">
        <f t="shared" si="87"/>
        <v>0</v>
      </c>
      <c r="AA693" s="1">
        <f t="shared" si="88"/>
        <v>0</v>
      </c>
    </row>
    <row r="694" spans="2:27" x14ac:dyDescent="0.3">
      <c r="B694" s="12"/>
      <c r="I694" s="14"/>
      <c r="J694" s="13"/>
      <c r="T694" s="1">
        <f t="shared" si="81"/>
        <v>0</v>
      </c>
      <c r="U694" s="1">
        <f t="shared" si="82"/>
        <v>0</v>
      </c>
      <c r="V694" s="1">
        <f t="shared" si="83"/>
        <v>0</v>
      </c>
      <c r="W694" s="1">
        <f t="shared" si="84"/>
        <v>0</v>
      </c>
      <c r="X694" s="1">
        <f t="shared" si="85"/>
        <v>0</v>
      </c>
      <c r="Y694" s="1">
        <f t="shared" si="86"/>
        <v>0</v>
      </c>
      <c r="Z694" s="1">
        <f t="shared" si="87"/>
        <v>0</v>
      </c>
      <c r="AA694" s="1">
        <f t="shared" si="88"/>
        <v>0</v>
      </c>
    </row>
    <row r="695" spans="2:27" x14ac:dyDescent="0.3">
      <c r="B695" s="12"/>
      <c r="I695" s="14"/>
      <c r="J695" s="13"/>
      <c r="T695" s="1">
        <f t="shared" si="81"/>
        <v>0</v>
      </c>
      <c r="U695" s="1">
        <f t="shared" si="82"/>
        <v>0</v>
      </c>
      <c r="V695" s="1">
        <f t="shared" si="83"/>
        <v>0</v>
      </c>
      <c r="W695" s="1">
        <f t="shared" si="84"/>
        <v>0</v>
      </c>
      <c r="X695" s="1">
        <f t="shared" si="85"/>
        <v>0</v>
      </c>
      <c r="Y695" s="1">
        <f t="shared" si="86"/>
        <v>0</v>
      </c>
      <c r="Z695" s="1">
        <f t="shared" si="87"/>
        <v>0</v>
      </c>
      <c r="AA695" s="1">
        <f t="shared" si="88"/>
        <v>0</v>
      </c>
    </row>
    <row r="696" spans="2:27" x14ac:dyDescent="0.3">
      <c r="B696" s="12"/>
      <c r="I696" s="14"/>
      <c r="J696" s="13"/>
      <c r="T696" s="1">
        <f t="shared" si="81"/>
        <v>0</v>
      </c>
      <c r="U696" s="1">
        <f t="shared" si="82"/>
        <v>0</v>
      </c>
      <c r="V696" s="1">
        <f t="shared" si="83"/>
        <v>0</v>
      </c>
      <c r="W696" s="1">
        <f t="shared" si="84"/>
        <v>0</v>
      </c>
      <c r="X696" s="1">
        <f t="shared" si="85"/>
        <v>0</v>
      </c>
      <c r="Y696" s="1">
        <f t="shared" si="86"/>
        <v>0</v>
      </c>
      <c r="Z696" s="1">
        <f t="shared" si="87"/>
        <v>0</v>
      </c>
      <c r="AA696" s="1">
        <f t="shared" si="88"/>
        <v>0</v>
      </c>
    </row>
    <row r="697" spans="2:27" x14ac:dyDescent="0.3">
      <c r="B697" s="12"/>
      <c r="I697" s="14"/>
      <c r="J697" s="13"/>
      <c r="T697" s="1">
        <f t="shared" si="81"/>
        <v>0</v>
      </c>
      <c r="U697" s="1">
        <f t="shared" si="82"/>
        <v>0</v>
      </c>
      <c r="V697" s="1">
        <f t="shared" si="83"/>
        <v>0</v>
      </c>
      <c r="W697" s="1">
        <f t="shared" si="84"/>
        <v>0</v>
      </c>
      <c r="X697" s="1">
        <f t="shared" si="85"/>
        <v>0</v>
      </c>
      <c r="Y697" s="1">
        <f t="shared" si="86"/>
        <v>0</v>
      </c>
      <c r="Z697" s="1">
        <f t="shared" si="87"/>
        <v>0</v>
      </c>
      <c r="AA697" s="1">
        <f t="shared" si="88"/>
        <v>0</v>
      </c>
    </row>
    <row r="698" spans="2:27" x14ac:dyDescent="0.3">
      <c r="B698" s="12"/>
      <c r="I698" s="14"/>
      <c r="J698" s="13"/>
      <c r="T698" s="1">
        <f t="shared" si="81"/>
        <v>0</v>
      </c>
      <c r="U698" s="1">
        <f t="shared" si="82"/>
        <v>0</v>
      </c>
      <c r="V698" s="1">
        <f t="shared" si="83"/>
        <v>0</v>
      </c>
      <c r="W698" s="1">
        <f t="shared" si="84"/>
        <v>0</v>
      </c>
      <c r="X698" s="1">
        <f t="shared" si="85"/>
        <v>0</v>
      </c>
      <c r="Y698" s="1">
        <f t="shared" si="86"/>
        <v>0</v>
      </c>
      <c r="Z698" s="1">
        <f t="shared" si="87"/>
        <v>0</v>
      </c>
      <c r="AA698" s="1">
        <f t="shared" si="88"/>
        <v>0</v>
      </c>
    </row>
    <row r="699" spans="2:27" x14ac:dyDescent="0.3">
      <c r="B699" s="12"/>
      <c r="I699" s="14"/>
      <c r="J699" s="13"/>
      <c r="T699" s="1">
        <f t="shared" si="81"/>
        <v>0</v>
      </c>
      <c r="U699" s="1">
        <f t="shared" si="82"/>
        <v>0</v>
      </c>
      <c r="V699" s="1">
        <f t="shared" si="83"/>
        <v>0</v>
      </c>
      <c r="W699" s="1">
        <f t="shared" si="84"/>
        <v>0</v>
      </c>
      <c r="X699" s="1">
        <f t="shared" si="85"/>
        <v>0</v>
      </c>
      <c r="Y699" s="1">
        <f t="shared" si="86"/>
        <v>0</v>
      </c>
      <c r="Z699" s="1">
        <f t="shared" si="87"/>
        <v>0</v>
      </c>
      <c r="AA699" s="1">
        <f t="shared" si="88"/>
        <v>0</v>
      </c>
    </row>
    <row r="700" spans="2:27" x14ac:dyDescent="0.3">
      <c r="B700" s="12"/>
      <c r="I700" s="14"/>
      <c r="J700" s="13"/>
      <c r="T700" s="1">
        <f t="shared" si="81"/>
        <v>0</v>
      </c>
      <c r="U700" s="1">
        <f t="shared" si="82"/>
        <v>0</v>
      </c>
      <c r="V700" s="1">
        <f t="shared" si="83"/>
        <v>0</v>
      </c>
      <c r="W700" s="1">
        <f t="shared" si="84"/>
        <v>0</v>
      </c>
      <c r="X700" s="1">
        <f t="shared" si="85"/>
        <v>0</v>
      </c>
      <c r="Y700" s="1">
        <f t="shared" si="86"/>
        <v>0</v>
      </c>
      <c r="Z700" s="1">
        <f t="shared" si="87"/>
        <v>0</v>
      </c>
      <c r="AA700" s="1">
        <f t="shared" si="88"/>
        <v>0</v>
      </c>
    </row>
    <row r="701" spans="2:27" x14ac:dyDescent="0.3">
      <c r="B701" s="12"/>
      <c r="I701" s="14"/>
      <c r="J701" s="13"/>
      <c r="T701" s="1">
        <f t="shared" si="81"/>
        <v>0</v>
      </c>
      <c r="U701" s="1">
        <f t="shared" si="82"/>
        <v>0</v>
      </c>
      <c r="V701" s="1">
        <f t="shared" si="83"/>
        <v>0</v>
      </c>
      <c r="W701" s="1">
        <f t="shared" si="84"/>
        <v>0</v>
      </c>
      <c r="X701" s="1">
        <f t="shared" si="85"/>
        <v>0</v>
      </c>
      <c r="Y701" s="1">
        <f t="shared" si="86"/>
        <v>0</v>
      </c>
      <c r="Z701" s="1">
        <f t="shared" si="87"/>
        <v>0</v>
      </c>
      <c r="AA701" s="1">
        <f t="shared" si="88"/>
        <v>0</v>
      </c>
    </row>
    <row r="702" spans="2:27" x14ac:dyDescent="0.3">
      <c r="B702" s="12"/>
      <c r="I702" s="14"/>
      <c r="J702" s="13"/>
      <c r="T702" s="1">
        <f t="shared" si="81"/>
        <v>0</v>
      </c>
      <c r="U702" s="1">
        <f t="shared" si="82"/>
        <v>0</v>
      </c>
      <c r="V702" s="1">
        <f t="shared" si="83"/>
        <v>0</v>
      </c>
      <c r="W702" s="1">
        <f t="shared" si="84"/>
        <v>0</v>
      </c>
      <c r="X702" s="1">
        <f t="shared" si="85"/>
        <v>0</v>
      </c>
      <c r="Y702" s="1">
        <f t="shared" si="86"/>
        <v>0</v>
      </c>
      <c r="Z702" s="1">
        <f t="shared" si="87"/>
        <v>0</v>
      </c>
      <c r="AA702" s="1">
        <f t="shared" si="88"/>
        <v>0</v>
      </c>
    </row>
    <row r="703" spans="2:27" x14ac:dyDescent="0.3">
      <c r="B703" s="12"/>
      <c r="I703" s="14"/>
      <c r="J703" s="13"/>
      <c r="T703" s="1">
        <f t="shared" si="81"/>
        <v>0</v>
      </c>
      <c r="U703" s="1">
        <f t="shared" si="82"/>
        <v>0</v>
      </c>
      <c r="V703" s="1">
        <f t="shared" si="83"/>
        <v>0</v>
      </c>
      <c r="W703" s="1">
        <f t="shared" si="84"/>
        <v>0</v>
      </c>
      <c r="X703" s="1">
        <f t="shared" si="85"/>
        <v>0</v>
      </c>
      <c r="Y703" s="1">
        <f t="shared" si="86"/>
        <v>0</v>
      </c>
      <c r="Z703" s="1">
        <f t="shared" si="87"/>
        <v>0</v>
      </c>
      <c r="AA703" s="1">
        <f t="shared" si="88"/>
        <v>0</v>
      </c>
    </row>
    <row r="704" spans="2:27" x14ac:dyDescent="0.3">
      <c r="B704" s="12"/>
      <c r="I704" s="14"/>
      <c r="J704" s="13"/>
      <c r="T704" s="1">
        <f t="shared" si="81"/>
        <v>0</v>
      </c>
      <c r="U704" s="1">
        <f t="shared" si="82"/>
        <v>0</v>
      </c>
      <c r="V704" s="1">
        <f t="shared" si="83"/>
        <v>0</v>
      </c>
      <c r="W704" s="1">
        <f t="shared" si="84"/>
        <v>0</v>
      </c>
      <c r="X704" s="1">
        <f t="shared" si="85"/>
        <v>0</v>
      </c>
      <c r="Y704" s="1">
        <f t="shared" si="86"/>
        <v>0</v>
      </c>
      <c r="Z704" s="1">
        <f t="shared" si="87"/>
        <v>0</v>
      </c>
      <c r="AA704" s="1">
        <f t="shared" si="88"/>
        <v>0</v>
      </c>
    </row>
    <row r="705" spans="2:27" x14ac:dyDescent="0.3">
      <c r="B705" s="12"/>
      <c r="I705" s="14"/>
      <c r="J705" s="13"/>
      <c r="T705" s="1">
        <f t="shared" si="81"/>
        <v>0</v>
      </c>
      <c r="U705" s="1">
        <f t="shared" si="82"/>
        <v>0</v>
      </c>
      <c r="V705" s="1">
        <f t="shared" si="83"/>
        <v>0</v>
      </c>
      <c r="W705" s="1">
        <f t="shared" si="84"/>
        <v>0</v>
      </c>
      <c r="X705" s="1">
        <f t="shared" si="85"/>
        <v>0</v>
      </c>
      <c r="Y705" s="1">
        <f t="shared" si="86"/>
        <v>0</v>
      </c>
      <c r="Z705" s="1">
        <f t="shared" si="87"/>
        <v>0</v>
      </c>
      <c r="AA705" s="1">
        <f t="shared" si="88"/>
        <v>0</v>
      </c>
    </row>
    <row r="706" spans="2:27" x14ac:dyDescent="0.3">
      <c r="B706" s="12"/>
      <c r="I706" s="14"/>
      <c r="J706" s="13"/>
      <c r="T706" s="1">
        <f t="shared" si="81"/>
        <v>0</v>
      </c>
      <c r="U706" s="1">
        <f t="shared" si="82"/>
        <v>0</v>
      </c>
      <c r="V706" s="1">
        <f t="shared" si="83"/>
        <v>0</v>
      </c>
      <c r="W706" s="1">
        <f t="shared" si="84"/>
        <v>0</v>
      </c>
      <c r="X706" s="1">
        <f t="shared" si="85"/>
        <v>0</v>
      </c>
      <c r="Y706" s="1">
        <f t="shared" si="86"/>
        <v>0</v>
      </c>
      <c r="Z706" s="1">
        <f t="shared" si="87"/>
        <v>0</v>
      </c>
      <c r="AA706" s="1">
        <f t="shared" si="88"/>
        <v>0</v>
      </c>
    </row>
    <row r="707" spans="2:27" x14ac:dyDescent="0.3">
      <c r="B707" s="12"/>
      <c r="I707" s="14"/>
      <c r="J707" s="13"/>
      <c r="T707" s="1">
        <f t="shared" si="81"/>
        <v>0</v>
      </c>
      <c r="U707" s="1">
        <f t="shared" si="82"/>
        <v>0</v>
      </c>
      <c r="V707" s="1">
        <f t="shared" si="83"/>
        <v>0</v>
      </c>
      <c r="W707" s="1">
        <f t="shared" si="84"/>
        <v>0</v>
      </c>
      <c r="X707" s="1">
        <f t="shared" si="85"/>
        <v>0</v>
      </c>
      <c r="Y707" s="1">
        <f t="shared" si="86"/>
        <v>0</v>
      </c>
      <c r="Z707" s="1">
        <f t="shared" si="87"/>
        <v>0</v>
      </c>
      <c r="AA707" s="1">
        <f t="shared" si="88"/>
        <v>0</v>
      </c>
    </row>
    <row r="708" spans="2:27" x14ac:dyDescent="0.3">
      <c r="B708" s="12"/>
      <c r="I708" s="14"/>
      <c r="J708" s="13"/>
      <c r="T708" s="1">
        <f t="shared" si="81"/>
        <v>0</v>
      </c>
      <c r="U708" s="1">
        <f t="shared" si="82"/>
        <v>0</v>
      </c>
      <c r="V708" s="1">
        <f t="shared" si="83"/>
        <v>0</v>
      </c>
      <c r="W708" s="1">
        <f t="shared" si="84"/>
        <v>0</v>
      </c>
      <c r="X708" s="1">
        <f t="shared" si="85"/>
        <v>0</v>
      </c>
      <c r="Y708" s="1">
        <f t="shared" si="86"/>
        <v>0</v>
      </c>
      <c r="Z708" s="1">
        <f t="shared" si="87"/>
        <v>0</v>
      </c>
      <c r="AA708" s="1">
        <f t="shared" si="88"/>
        <v>0</v>
      </c>
    </row>
    <row r="709" spans="2:27" x14ac:dyDescent="0.3">
      <c r="B709" s="12"/>
      <c r="I709" s="14"/>
      <c r="J709" s="13"/>
      <c r="T709" s="1">
        <f t="shared" si="81"/>
        <v>0</v>
      </c>
      <c r="U709" s="1">
        <f t="shared" si="82"/>
        <v>0</v>
      </c>
      <c r="V709" s="1">
        <f t="shared" si="83"/>
        <v>0</v>
      </c>
      <c r="W709" s="1">
        <f t="shared" si="84"/>
        <v>0</v>
      </c>
      <c r="X709" s="1">
        <f t="shared" si="85"/>
        <v>0</v>
      </c>
      <c r="Y709" s="1">
        <f t="shared" si="86"/>
        <v>0</v>
      </c>
      <c r="Z709" s="1">
        <f t="shared" si="87"/>
        <v>0</v>
      </c>
      <c r="AA709" s="1">
        <f t="shared" si="88"/>
        <v>0</v>
      </c>
    </row>
    <row r="710" spans="2:27" x14ac:dyDescent="0.3">
      <c r="B710" s="12"/>
      <c r="I710" s="14"/>
      <c r="J710" s="13"/>
      <c r="T710" s="1">
        <f t="shared" si="81"/>
        <v>0</v>
      </c>
      <c r="U710" s="1">
        <f t="shared" si="82"/>
        <v>0</v>
      </c>
      <c r="V710" s="1">
        <f t="shared" si="83"/>
        <v>0</v>
      </c>
      <c r="W710" s="1">
        <f t="shared" si="84"/>
        <v>0</v>
      </c>
      <c r="X710" s="1">
        <f t="shared" si="85"/>
        <v>0</v>
      </c>
      <c r="Y710" s="1">
        <f t="shared" si="86"/>
        <v>0</v>
      </c>
      <c r="Z710" s="1">
        <f t="shared" si="87"/>
        <v>0</v>
      </c>
      <c r="AA710" s="1">
        <f t="shared" si="88"/>
        <v>0</v>
      </c>
    </row>
    <row r="711" spans="2:27" x14ac:dyDescent="0.3">
      <c r="B711" s="12"/>
      <c r="I711" s="14"/>
      <c r="J711" s="13"/>
      <c r="T711" s="1">
        <f t="shared" ref="T711:T774" si="89">IF(AND(G711="-"),0,G711*F711)</f>
        <v>0</v>
      </c>
      <c r="U711" s="1">
        <f t="shared" ref="U711:U774" si="90">IF(AND(O711="-"),0,O711*N711)</f>
        <v>0</v>
      </c>
      <c r="V711" s="1">
        <f t="shared" ref="V711:V774" si="91">IFERROR(C711*H711,0)</f>
        <v>0</v>
      </c>
      <c r="W711" s="1">
        <f t="shared" ref="W711:W774" si="92">IFERROR(K711*P711,0)</f>
        <v>0</v>
      </c>
      <c r="X711" s="1">
        <f t="shared" ref="X711:X774" si="93">IFERROR(G711*1,0)</f>
        <v>0</v>
      </c>
      <c r="Y711" s="1">
        <f t="shared" ref="Y711:Y774" si="94">IFERROR(O711*1,0)</f>
        <v>0</v>
      </c>
      <c r="Z711" s="1">
        <f t="shared" ref="Z711:Z774" si="95">IFERROR(H711*1,0)</f>
        <v>0</v>
      </c>
      <c r="AA711" s="1">
        <f t="shared" ref="AA711:AA774" si="96">IFERROR(P711*1,0)</f>
        <v>0</v>
      </c>
    </row>
    <row r="712" spans="2:27" x14ac:dyDescent="0.3">
      <c r="B712" s="12"/>
      <c r="I712" s="14"/>
      <c r="J712" s="13"/>
      <c r="T712" s="1">
        <f t="shared" si="89"/>
        <v>0</v>
      </c>
      <c r="U712" s="1">
        <f t="shared" si="90"/>
        <v>0</v>
      </c>
      <c r="V712" s="1">
        <f t="shared" si="91"/>
        <v>0</v>
      </c>
      <c r="W712" s="1">
        <f t="shared" si="92"/>
        <v>0</v>
      </c>
      <c r="X712" s="1">
        <f t="shared" si="93"/>
        <v>0</v>
      </c>
      <c r="Y712" s="1">
        <f t="shared" si="94"/>
        <v>0</v>
      </c>
      <c r="Z712" s="1">
        <f t="shared" si="95"/>
        <v>0</v>
      </c>
      <c r="AA712" s="1">
        <f t="shared" si="96"/>
        <v>0</v>
      </c>
    </row>
    <row r="713" spans="2:27" x14ac:dyDescent="0.3">
      <c r="B713" s="12"/>
      <c r="I713" s="14"/>
      <c r="J713" s="13"/>
      <c r="T713" s="1">
        <f t="shared" si="89"/>
        <v>0</v>
      </c>
      <c r="U713" s="1">
        <f t="shared" si="90"/>
        <v>0</v>
      </c>
      <c r="V713" s="1">
        <f t="shared" si="91"/>
        <v>0</v>
      </c>
      <c r="W713" s="1">
        <f t="shared" si="92"/>
        <v>0</v>
      </c>
      <c r="X713" s="1">
        <f t="shared" si="93"/>
        <v>0</v>
      </c>
      <c r="Y713" s="1">
        <f t="shared" si="94"/>
        <v>0</v>
      </c>
      <c r="Z713" s="1">
        <f t="shared" si="95"/>
        <v>0</v>
      </c>
      <c r="AA713" s="1">
        <f t="shared" si="96"/>
        <v>0</v>
      </c>
    </row>
    <row r="714" spans="2:27" x14ac:dyDescent="0.3">
      <c r="B714" s="12"/>
      <c r="I714" s="14"/>
      <c r="J714" s="13"/>
      <c r="T714" s="1">
        <f t="shared" si="89"/>
        <v>0</v>
      </c>
      <c r="U714" s="1">
        <f t="shared" si="90"/>
        <v>0</v>
      </c>
      <c r="V714" s="1">
        <f t="shared" si="91"/>
        <v>0</v>
      </c>
      <c r="W714" s="1">
        <f t="shared" si="92"/>
        <v>0</v>
      </c>
      <c r="X714" s="1">
        <f t="shared" si="93"/>
        <v>0</v>
      </c>
      <c r="Y714" s="1">
        <f t="shared" si="94"/>
        <v>0</v>
      </c>
      <c r="Z714" s="1">
        <f t="shared" si="95"/>
        <v>0</v>
      </c>
      <c r="AA714" s="1">
        <f t="shared" si="96"/>
        <v>0</v>
      </c>
    </row>
    <row r="715" spans="2:27" x14ac:dyDescent="0.3">
      <c r="B715" s="12"/>
      <c r="I715" s="14"/>
      <c r="J715" s="13"/>
      <c r="T715" s="1">
        <f t="shared" si="89"/>
        <v>0</v>
      </c>
      <c r="U715" s="1">
        <f t="shared" si="90"/>
        <v>0</v>
      </c>
      <c r="V715" s="1">
        <f t="shared" si="91"/>
        <v>0</v>
      </c>
      <c r="W715" s="1">
        <f t="shared" si="92"/>
        <v>0</v>
      </c>
      <c r="X715" s="1">
        <f t="shared" si="93"/>
        <v>0</v>
      </c>
      <c r="Y715" s="1">
        <f t="shared" si="94"/>
        <v>0</v>
      </c>
      <c r="Z715" s="1">
        <f t="shared" si="95"/>
        <v>0</v>
      </c>
      <c r="AA715" s="1">
        <f t="shared" si="96"/>
        <v>0</v>
      </c>
    </row>
    <row r="716" spans="2:27" x14ac:dyDescent="0.3">
      <c r="B716" s="12"/>
      <c r="I716" s="14"/>
      <c r="J716" s="13"/>
      <c r="T716" s="1">
        <f t="shared" si="89"/>
        <v>0</v>
      </c>
      <c r="U716" s="1">
        <f t="shared" si="90"/>
        <v>0</v>
      </c>
      <c r="V716" s="1">
        <f t="shared" si="91"/>
        <v>0</v>
      </c>
      <c r="W716" s="1">
        <f t="shared" si="92"/>
        <v>0</v>
      </c>
      <c r="X716" s="1">
        <f t="shared" si="93"/>
        <v>0</v>
      </c>
      <c r="Y716" s="1">
        <f t="shared" si="94"/>
        <v>0</v>
      </c>
      <c r="Z716" s="1">
        <f t="shared" si="95"/>
        <v>0</v>
      </c>
      <c r="AA716" s="1">
        <f t="shared" si="96"/>
        <v>0</v>
      </c>
    </row>
    <row r="717" spans="2:27" x14ac:dyDescent="0.3">
      <c r="B717" s="12"/>
      <c r="I717" s="14"/>
      <c r="J717" s="13"/>
      <c r="T717" s="1">
        <f t="shared" si="89"/>
        <v>0</v>
      </c>
      <c r="U717" s="1">
        <f t="shared" si="90"/>
        <v>0</v>
      </c>
      <c r="V717" s="1">
        <f t="shared" si="91"/>
        <v>0</v>
      </c>
      <c r="W717" s="1">
        <f t="shared" si="92"/>
        <v>0</v>
      </c>
      <c r="X717" s="1">
        <f t="shared" si="93"/>
        <v>0</v>
      </c>
      <c r="Y717" s="1">
        <f t="shared" si="94"/>
        <v>0</v>
      </c>
      <c r="Z717" s="1">
        <f t="shared" si="95"/>
        <v>0</v>
      </c>
      <c r="AA717" s="1">
        <f t="shared" si="96"/>
        <v>0</v>
      </c>
    </row>
    <row r="718" spans="2:27" x14ac:dyDescent="0.3">
      <c r="B718" s="12"/>
      <c r="I718" s="14"/>
      <c r="J718" s="13"/>
      <c r="T718" s="1">
        <f t="shared" si="89"/>
        <v>0</v>
      </c>
      <c r="U718" s="1">
        <f t="shared" si="90"/>
        <v>0</v>
      </c>
      <c r="V718" s="1">
        <f t="shared" si="91"/>
        <v>0</v>
      </c>
      <c r="W718" s="1">
        <f t="shared" si="92"/>
        <v>0</v>
      </c>
      <c r="X718" s="1">
        <f t="shared" si="93"/>
        <v>0</v>
      </c>
      <c r="Y718" s="1">
        <f t="shared" si="94"/>
        <v>0</v>
      </c>
      <c r="Z718" s="1">
        <f t="shared" si="95"/>
        <v>0</v>
      </c>
      <c r="AA718" s="1">
        <f t="shared" si="96"/>
        <v>0</v>
      </c>
    </row>
    <row r="719" spans="2:27" x14ac:dyDescent="0.3">
      <c r="B719" s="12"/>
      <c r="I719" s="14"/>
      <c r="J719" s="13"/>
      <c r="T719" s="1">
        <f t="shared" si="89"/>
        <v>0</v>
      </c>
      <c r="U719" s="1">
        <f t="shared" si="90"/>
        <v>0</v>
      </c>
      <c r="V719" s="1">
        <f t="shared" si="91"/>
        <v>0</v>
      </c>
      <c r="W719" s="1">
        <f t="shared" si="92"/>
        <v>0</v>
      </c>
      <c r="X719" s="1">
        <f t="shared" si="93"/>
        <v>0</v>
      </c>
      <c r="Y719" s="1">
        <f t="shared" si="94"/>
        <v>0</v>
      </c>
      <c r="Z719" s="1">
        <f t="shared" si="95"/>
        <v>0</v>
      </c>
      <c r="AA719" s="1">
        <f t="shared" si="96"/>
        <v>0</v>
      </c>
    </row>
    <row r="720" spans="2:27" x14ac:dyDescent="0.3">
      <c r="B720" s="12"/>
      <c r="J720" s="13"/>
      <c r="T720" s="1">
        <f t="shared" si="89"/>
        <v>0</v>
      </c>
      <c r="U720" s="1">
        <f t="shared" si="90"/>
        <v>0</v>
      </c>
      <c r="V720" s="1">
        <f t="shared" si="91"/>
        <v>0</v>
      </c>
      <c r="W720" s="1">
        <f t="shared" si="92"/>
        <v>0</v>
      </c>
      <c r="X720" s="1">
        <f t="shared" si="93"/>
        <v>0</v>
      </c>
      <c r="Y720" s="1">
        <f t="shared" si="94"/>
        <v>0</v>
      </c>
      <c r="Z720" s="1">
        <f t="shared" si="95"/>
        <v>0</v>
      </c>
      <c r="AA720" s="1">
        <f t="shared" si="96"/>
        <v>0</v>
      </c>
    </row>
    <row r="721" spans="2:27" x14ac:dyDescent="0.3">
      <c r="B721" s="12"/>
      <c r="J721" s="13"/>
      <c r="T721" s="1">
        <f t="shared" si="89"/>
        <v>0</v>
      </c>
      <c r="U721" s="1">
        <f t="shared" si="90"/>
        <v>0</v>
      </c>
      <c r="V721" s="1">
        <f t="shared" si="91"/>
        <v>0</v>
      </c>
      <c r="W721" s="1">
        <f t="shared" si="92"/>
        <v>0</v>
      </c>
      <c r="X721" s="1">
        <f t="shared" si="93"/>
        <v>0</v>
      </c>
      <c r="Y721" s="1">
        <f t="shared" si="94"/>
        <v>0</v>
      </c>
      <c r="Z721" s="1">
        <f t="shared" si="95"/>
        <v>0</v>
      </c>
      <c r="AA721" s="1">
        <f t="shared" si="96"/>
        <v>0</v>
      </c>
    </row>
    <row r="722" spans="2:27" x14ac:dyDescent="0.3">
      <c r="B722" s="12"/>
      <c r="J722" s="13"/>
      <c r="T722" s="1">
        <f t="shared" si="89"/>
        <v>0</v>
      </c>
      <c r="U722" s="1">
        <f t="shared" si="90"/>
        <v>0</v>
      </c>
      <c r="V722" s="1">
        <f t="shared" si="91"/>
        <v>0</v>
      </c>
      <c r="W722" s="1">
        <f t="shared" si="92"/>
        <v>0</v>
      </c>
      <c r="X722" s="1">
        <f t="shared" si="93"/>
        <v>0</v>
      </c>
      <c r="Y722" s="1">
        <f t="shared" si="94"/>
        <v>0</v>
      </c>
      <c r="Z722" s="1">
        <f t="shared" si="95"/>
        <v>0</v>
      </c>
      <c r="AA722" s="1">
        <f t="shared" si="96"/>
        <v>0</v>
      </c>
    </row>
    <row r="723" spans="2:27" x14ac:dyDescent="0.3">
      <c r="B723" s="12"/>
      <c r="J723" s="13"/>
      <c r="T723" s="1">
        <f t="shared" si="89"/>
        <v>0</v>
      </c>
      <c r="U723" s="1">
        <f t="shared" si="90"/>
        <v>0</v>
      </c>
      <c r="V723" s="1">
        <f t="shared" si="91"/>
        <v>0</v>
      </c>
      <c r="W723" s="1">
        <f t="shared" si="92"/>
        <v>0</v>
      </c>
      <c r="X723" s="1">
        <f t="shared" si="93"/>
        <v>0</v>
      </c>
      <c r="Y723" s="1">
        <f t="shared" si="94"/>
        <v>0</v>
      </c>
      <c r="Z723" s="1">
        <f t="shared" si="95"/>
        <v>0</v>
      </c>
      <c r="AA723" s="1">
        <f t="shared" si="96"/>
        <v>0</v>
      </c>
    </row>
    <row r="724" spans="2:27" x14ac:dyDescent="0.3">
      <c r="B724" s="12"/>
      <c r="J724" s="13"/>
      <c r="T724" s="1">
        <f t="shared" si="89"/>
        <v>0</v>
      </c>
      <c r="U724" s="1">
        <f t="shared" si="90"/>
        <v>0</v>
      </c>
      <c r="V724" s="1">
        <f t="shared" si="91"/>
        <v>0</v>
      </c>
      <c r="W724" s="1">
        <f t="shared" si="92"/>
        <v>0</v>
      </c>
      <c r="X724" s="1">
        <f t="shared" si="93"/>
        <v>0</v>
      </c>
      <c r="Y724" s="1">
        <f t="shared" si="94"/>
        <v>0</v>
      </c>
      <c r="Z724" s="1">
        <f t="shared" si="95"/>
        <v>0</v>
      </c>
      <c r="AA724" s="1">
        <f t="shared" si="96"/>
        <v>0</v>
      </c>
    </row>
    <row r="725" spans="2:27" x14ac:dyDescent="0.3">
      <c r="B725" s="12"/>
      <c r="J725" s="13"/>
      <c r="T725" s="1">
        <f t="shared" si="89"/>
        <v>0</v>
      </c>
      <c r="U725" s="1">
        <f t="shared" si="90"/>
        <v>0</v>
      </c>
      <c r="V725" s="1">
        <f t="shared" si="91"/>
        <v>0</v>
      </c>
      <c r="W725" s="1">
        <f t="shared" si="92"/>
        <v>0</v>
      </c>
      <c r="X725" s="1">
        <f t="shared" si="93"/>
        <v>0</v>
      </c>
      <c r="Y725" s="1">
        <f t="shared" si="94"/>
        <v>0</v>
      </c>
      <c r="Z725" s="1">
        <f t="shared" si="95"/>
        <v>0</v>
      </c>
      <c r="AA725" s="1">
        <f t="shared" si="96"/>
        <v>0</v>
      </c>
    </row>
    <row r="726" spans="2:27" x14ac:dyDescent="0.3">
      <c r="B726" s="12"/>
      <c r="J726" s="13"/>
      <c r="T726" s="1">
        <f t="shared" si="89"/>
        <v>0</v>
      </c>
      <c r="U726" s="1">
        <f t="shared" si="90"/>
        <v>0</v>
      </c>
      <c r="V726" s="1">
        <f t="shared" si="91"/>
        <v>0</v>
      </c>
      <c r="W726" s="1">
        <f t="shared" si="92"/>
        <v>0</v>
      </c>
      <c r="X726" s="1">
        <f t="shared" si="93"/>
        <v>0</v>
      </c>
      <c r="Y726" s="1">
        <f t="shared" si="94"/>
        <v>0</v>
      </c>
      <c r="Z726" s="1">
        <f t="shared" si="95"/>
        <v>0</v>
      </c>
      <c r="AA726" s="1">
        <f t="shared" si="96"/>
        <v>0</v>
      </c>
    </row>
    <row r="727" spans="2:27" x14ac:dyDescent="0.3">
      <c r="B727" s="12"/>
      <c r="J727" s="13"/>
      <c r="T727" s="1">
        <f t="shared" si="89"/>
        <v>0</v>
      </c>
      <c r="U727" s="1">
        <f t="shared" si="90"/>
        <v>0</v>
      </c>
      <c r="V727" s="1">
        <f t="shared" si="91"/>
        <v>0</v>
      </c>
      <c r="W727" s="1">
        <f t="shared" si="92"/>
        <v>0</v>
      </c>
      <c r="X727" s="1">
        <f t="shared" si="93"/>
        <v>0</v>
      </c>
      <c r="Y727" s="1">
        <f t="shared" si="94"/>
        <v>0</v>
      </c>
      <c r="Z727" s="1">
        <f t="shared" si="95"/>
        <v>0</v>
      </c>
      <c r="AA727" s="1">
        <f t="shared" si="96"/>
        <v>0</v>
      </c>
    </row>
    <row r="728" spans="2:27" x14ac:dyDescent="0.3">
      <c r="B728" s="12"/>
      <c r="J728" s="13"/>
      <c r="T728" s="1">
        <f t="shared" si="89"/>
        <v>0</v>
      </c>
      <c r="U728" s="1">
        <f t="shared" si="90"/>
        <v>0</v>
      </c>
      <c r="V728" s="1">
        <f t="shared" si="91"/>
        <v>0</v>
      </c>
      <c r="W728" s="1">
        <f t="shared" si="92"/>
        <v>0</v>
      </c>
      <c r="X728" s="1">
        <f t="shared" si="93"/>
        <v>0</v>
      </c>
      <c r="Y728" s="1">
        <f t="shared" si="94"/>
        <v>0</v>
      </c>
      <c r="Z728" s="1">
        <f t="shared" si="95"/>
        <v>0</v>
      </c>
      <c r="AA728" s="1">
        <f t="shared" si="96"/>
        <v>0</v>
      </c>
    </row>
    <row r="729" spans="2:27" x14ac:dyDescent="0.3">
      <c r="B729" s="12"/>
      <c r="J729" s="13"/>
      <c r="T729" s="1">
        <f t="shared" si="89"/>
        <v>0</v>
      </c>
      <c r="U729" s="1">
        <f t="shared" si="90"/>
        <v>0</v>
      </c>
      <c r="V729" s="1">
        <f t="shared" si="91"/>
        <v>0</v>
      </c>
      <c r="W729" s="1">
        <f t="shared" si="92"/>
        <v>0</v>
      </c>
      <c r="X729" s="1">
        <f t="shared" si="93"/>
        <v>0</v>
      </c>
      <c r="Y729" s="1">
        <f t="shared" si="94"/>
        <v>0</v>
      </c>
      <c r="Z729" s="1">
        <f t="shared" si="95"/>
        <v>0</v>
      </c>
      <c r="AA729" s="1">
        <f t="shared" si="96"/>
        <v>0</v>
      </c>
    </row>
    <row r="730" spans="2:27" x14ac:dyDescent="0.3">
      <c r="B730" s="12"/>
      <c r="I730" s="14"/>
      <c r="J730" s="13"/>
      <c r="T730" s="1">
        <f t="shared" si="89"/>
        <v>0</v>
      </c>
      <c r="U730" s="1">
        <f t="shared" si="90"/>
        <v>0</v>
      </c>
      <c r="V730" s="1">
        <f t="shared" si="91"/>
        <v>0</v>
      </c>
      <c r="W730" s="1">
        <f t="shared" si="92"/>
        <v>0</v>
      </c>
      <c r="X730" s="1">
        <f t="shared" si="93"/>
        <v>0</v>
      </c>
      <c r="Y730" s="1">
        <f t="shared" si="94"/>
        <v>0</v>
      </c>
      <c r="Z730" s="1">
        <f t="shared" si="95"/>
        <v>0</v>
      </c>
      <c r="AA730" s="1">
        <f t="shared" si="96"/>
        <v>0</v>
      </c>
    </row>
    <row r="731" spans="2:27" x14ac:dyDescent="0.3">
      <c r="B731" s="12"/>
      <c r="I731" s="14"/>
      <c r="J731" s="13"/>
      <c r="T731" s="1">
        <f t="shared" si="89"/>
        <v>0</v>
      </c>
      <c r="U731" s="1">
        <f t="shared" si="90"/>
        <v>0</v>
      </c>
      <c r="V731" s="1">
        <f t="shared" si="91"/>
        <v>0</v>
      </c>
      <c r="W731" s="1">
        <f t="shared" si="92"/>
        <v>0</v>
      </c>
      <c r="X731" s="1">
        <f t="shared" si="93"/>
        <v>0</v>
      </c>
      <c r="Y731" s="1">
        <f t="shared" si="94"/>
        <v>0</v>
      </c>
      <c r="Z731" s="1">
        <f t="shared" si="95"/>
        <v>0</v>
      </c>
      <c r="AA731" s="1">
        <f t="shared" si="96"/>
        <v>0</v>
      </c>
    </row>
    <row r="732" spans="2:27" x14ac:dyDescent="0.3">
      <c r="B732" s="12"/>
      <c r="I732" s="14"/>
      <c r="J732" s="13"/>
      <c r="T732" s="1">
        <f t="shared" si="89"/>
        <v>0</v>
      </c>
      <c r="U732" s="1">
        <f t="shared" si="90"/>
        <v>0</v>
      </c>
      <c r="V732" s="1">
        <f t="shared" si="91"/>
        <v>0</v>
      </c>
      <c r="W732" s="1">
        <f t="shared" si="92"/>
        <v>0</v>
      </c>
      <c r="X732" s="1">
        <f t="shared" si="93"/>
        <v>0</v>
      </c>
      <c r="Y732" s="1">
        <f t="shared" si="94"/>
        <v>0</v>
      </c>
      <c r="Z732" s="1">
        <f t="shared" si="95"/>
        <v>0</v>
      </c>
      <c r="AA732" s="1">
        <f t="shared" si="96"/>
        <v>0</v>
      </c>
    </row>
    <row r="733" spans="2:27" x14ac:dyDescent="0.3">
      <c r="B733" s="12"/>
      <c r="I733" s="14"/>
      <c r="J733" s="13"/>
      <c r="T733" s="1">
        <f t="shared" si="89"/>
        <v>0</v>
      </c>
      <c r="U733" s="1">
        <f t="shared" si="90"/>
        <v>0</v>
      </c>
      <c r="V733" s="1">
        <f t="shared" si="91"/>
        <v>0</v>
      </c>
      <c r="W733" s="1">
        <f t="shared" si="92"/>
        <v>0</v>
      </c>
      <c r="X733" s="1">
        <f t="shared" si="93"/>
        <v>0</v>
      </c>
      <c r="Y733" s="1">
        <f t="shared" si="94"/>
        <v>0</v>
      </c>
      <c r="Z733" s="1">
        <f t="shared" si="95"/>
        <v>0</v>
      </c>
      <c r="AA733" s="1">
        <f t="shared" si="96"/>
        <v>0</v>
      </c>
    </row>
    <row r="734" spans="2:27" x14ac:dyDescent="0.3">
      <c r="B734" s="12"/>
      <c r="I734" s="14"/>
      <c r="J734" s="13"/>
      <c r="T734" s="1">
        <f t="shared" si="89"/>
        <v>0</v>
      </c>
      <c r="U734" s="1">
        <f t="shared" si="90"/>
        <v>0</v>
      </c>
      <c r="V734" s="1">
        <f t="shared" si="91"/>
        <v>0</v>
      </c>
      <c r="W734" s="1">
        <f t="shared" si="92"/>
        <v>0</v>
      </c>
      <c r="X734" s="1">
        <f t="shared" si="93"/>
        <v>0</v>
      </c>
      <c r="Y734" s="1">
        <f t="shared" si="94"/>
        <v>0</v>
      </c>
      <c r="Z734" s="1">
        <f t="shared" si="95"/>
        <v>0</v>
      </c>
      <c r="AA734" s="1">
        <f t="shared" si="96"/>
        <v>0</v>
      </c>
    </row>
    <row r="735" spans="2:27" x14ac:dyDescent="0.3">
      <c r="B735" s="12"/>
      <c r="I735" s="14"/>
      <c r="J735" s="13"/>
      <c r="T735" s="1">
        <f t="shared" si="89"/>
        <v>0</v>
      </c>
      <c r="U735" s="1">
        <f t="shared" si="90"/>
        <v>0</v>
      </c>
      <c r="V735" s="1">
        <f t="shared" si="91"/>
        <v>0</v>
      </c>
      <c r="W735" s="1">
        <f t="shared" si="92"/>
        <v>0</v>
      </c>
      <c r="X735" s="1">
        <f t="shared" si="93"/>
        <v>0</v>
      </c>
      <c r="Y735" s="1">
        <f t="shared" si="94"/>
        <v>0</v>
      </c>
      <c r="Z735" s="1">
        <f t="shared" si="95"/>
        <v>0</v>
      </c>
      <c r="AA735" s="1">
        <f t="shared" si="96"/>
        <v>0</v>
      </c>
    </row>
    <row r="736" spans="2:27" x14ac:dyDescent="0.3">
      <c r="B736" s="12"/>
      <c r="I736" s="14"/>
      <c r="J736" s="13"/>
      <c r="T736" s="1">
        <f t="shared" si="89"/>
        <v>0</v>
      </c>
      <c r="U736" s="1">
        <f t="shared" si="90"/>
        <v>0</v>
      </c>
      <c r="V736" s="1">
        <f t="shared" si="91"/>
        <v>0</v>
      </c>
      <c r="W736" s="1">
        <f t="shared" si="92"/>
        <v>0</v>
      </c>
      <c r="X736" s="1">
        <f t="shared" si="93"/>
        <v>0</v>
      </c>
      <c r="Y736" s="1">
        <f t="shared" si="94"/>
        <v>0</v>
      </c>
      <c r="Z736" s="1">
        <f t="shared" si="95"/>
        <v>0</v>
      </c>
      <c r="AA736" s="1">
        <f t="shared" si="96"/>
        <v>0</v>
      </c>
    </row>
    <row r="737" spans="2:27" x14ac:dyDescent="0.3">
      <c r="B737" s="12"/>
      <c r="I737" s="14"/>
      <c r="J737" s="13"/>
      <c r="T737" s="1">
        <f t="shared" si="89"/>
        <v>0</v>
      </c>
      <c r="U737" s="1">
        <f t="shared" si="90"/>
        <v>0</v>
      </c>
      <c r="V737" s="1">
        <f t="shared" si="91"/>
        <v>0</v>
      </c>
      <c r="W737" s="1">
        <f t="shared" si="92"/>
        <v>0</v>
      </c>
      <c r="X737" s="1">
        <f t="shared" si="93"/>
        <v>0</v>
      </c>
      <c r="Y737" s="1">
        <f t="shared" si="94"/>
        <v>0</v>
      </c>
      <c r="Z737" s="1">
        <f t="shared" si="95"/>
        <v>0</v>
      </c>
      <c r="AA737" s="1">
        <f t="shared" si="96"/>
        <v>0</v>
      </c>
    </row>
    <row r="738" spans="2:27" x14ac:dyDescent="0.3">
      <c r="B738" s="12"/>
      <c r="I738" s="14"/>
      <c r="J738" s="13"/>
      <c r="T738" s="1">
        <f t="shared" si="89"/>
        <v>0</v>
      </c>
      <c r="U738" s="1">
        <f t="shared" si="90"/>
        <v>0</v>
      </c>
      <c r="V738" s="1">
        <f t="shared" si="91"/>
        <v>0</v>
      </c>
      <c r="W738" s="1">
        <f t="shared" si="92"/>
        <v>0</v>
      </c>
      <c r="X738" s="1">
        <f t="shared" si="93"/>
        <v>0</v>
      </c>
      <c r="Y738" s="1">
        <f t="shared" si="94"/>
        <v>0</v>
      </c>
      <c r="Z738" s="1">
        <f t="shared" si="95"/>
        <v>0</v>
      </c>
      <c r="AA738" s="1">
        <f t="shared" si="96"/>
        <v>0</v>
      </c>
    </row>
    <row r="739" spans="2:27" x14ac:dyDescent="0.3">
      <c r="B739" s="12"/>
      <c r="I739" s="14"/>
      <c r="J739" s="13"/>
      <c r="T739" s="1">
        <f t="shared" si="89"/>
        <v>0</v>
      </c>
      <c r="U739" s="1">
        <f t="shared" si="90"/>
        <v>0</v>
      </c>
      <c r="V739" s="1">
        <f t="shared" si="91"/>
        <v>0</v>
      </c>
      <c r="W739" s="1">
        <f t="shared" si="92"/>
        <v>0</v>
      </c>
      <c r="X739" s="1">
        <f t="shared" si="93"/>
        <v>0</v>
      </c>
      <c r="Y739" s="1">
        <f t="shared" si="94"/>
        <v>0</v>
      </c>
      <c r="Z739" s="1">
        <f t="shared" si="95"/>
        <v>0</v>
      </c>
      <c r="AA739" s="1">
        <f t="shared" si="96"/>
        <v>0</v>
      </c>
    </row>
    <row r="740" spans="2:27" x14ac:dyDescent="0.3">
      <c r="B740" s="12"/>
      <c r="I740" s="14"/>
      <c r="J740" s="13"/>
      <c r="T740" s="1">
        <f t="shared" si="89"/>
        <v>0</v>
      </c>
      <c r="U740" s="1">
        <f t="shared" si="90"/>
        <v>0</v>
      </c>
      <c r="V740" s="1">
        <f t="shared" si="91"/>
        <v>0</v>
      </c>
      <c r="W740" s="1">
        <f t="shared" si="92"/>
        <v>0</v>
      </c>
      <c r="X740" s="1">
        <f t="shared" si="93"/>
        <v>0</v>
      </c>
      <c r="Y740" s="1">
        <f t="shared" si="94"/>
        <v>0</v>
      </c>
      <c r="Z740" s="1">
        <f t="shared" si="95"/>
        <v>0</v>
      </c>
      <c r="AA740" s="1">
        <f t="shared" si="96"/>
        <v>0</v>
      </c>
    </row>
    <row r="741" spans="2:27" x14ac:dyDescent="0.3">
      <c r="B741" s="12"/>
      <c r="I741" s="14"/>
      <c r="J741" s="13"/>
      <c r="T741" s="1">
        <f t="shared" si="89"/>
        <v>0</v>
      </c>
      <c r="U741" s="1">
        <f t="shared" si="90"/>
        <v>0</v>
      </c>
      <c r="V741" s="1">
        <f t="shared" si="91"/>
        <v>0</v>
      </c>
      <c r="W741" s="1">
        <f t="shared" si="92"/>
        <v>0</v>
      </c>
      <c r="X741" s="1">
        <f t="shared" si="93"/>
        <v>0</v>
      </c>
      <c r="Y741" s="1">
        <f t="shared" si="94"/>
        <v>0</v>
      </c>
      <c r="Z741" s="1">
        <f t="shared" si="95"/>
        <v>0</v>
      </c>
      <c r="AA741" s="1">
        <f t="shared" si="96"/>
        <v>0</v>
      </c>
    </row>
    <row r="742" spans="2:27" x14ac:dyDescent="0.3">
      <c r="B742" s="12"/>
      <c r="I742" s="14"/>
      <c r="J742" s="13"/>
      <c r="T742" s="1">
        <f t="shared" si="89"/>
        <v>0</v>
      </c>
      <c r="U742" s="1">
        <f t="shared" si="90"/>
        <v>0</v>
      </c>
      <c r="V742" s="1">
        <f t="shared" si="91"/>
        <v>0</v>
      </c>
      <c r="W742" s="1">
        <f t="shared" si="92"/>
        <v>0</v>
      </c>
      <c r="X742" s="1">
        <f t="shared" si="93"/>
        <v>0</v>
      </c>
      <c r="Y742" s="1">
        <f t="shared" si="94"/>
        <v>0</v>
      </c>
      <c r="Z742" s="1">
        <f t="shared" si="95"/>
        <v>0</v>
      </c>
      <c r="AA742" s="1">
        <f t="shared" si="96"/>
        <v>0</v>
      </c>
    </row>
    <row r="743" spans="2:27" x14ac:dyDescent="0.3">
      <c r="B743" s="12"/>
      <c r="I743" s="14"/>
      <c r="J743" s="13"/>
      <c r="T743" s="1">
        <f t="shared" si="89"/>
        <v>0</v>
      </c>
      <c r="U743" s="1">
        <f t="shared" si="90"/>
        <v>0</v>
      </c>
      <c r="V743" s="1">
        <f t="shared" si="91"/>
        <v>0</v>
      </c>
      <c r="W743" s="1">
        <f t="shared" si="92"/>
        <v>0</v>
      </c>
      <c r="X743" s="1">
        <f t="shared" si="93"/>
        <v>0</v>
      </c>
      <c r="Y743" s="1">
        <f t="shared" si="94"/>
        <v>0</v>
      </c>
      <c r="Z743" s="1">
        <f t="shared" si="95"/>
        <v>0</v>
      </c>
      <c r="AA743" s="1">
        <f t="shared" si="96"/>
        <v>0</v>
      </c>
    </row>
    <row r="744" spans="2:27" x14ac:dyDescent="0.3">
      <c r="B744" s="12"/>
      <c r="I744" s="14"/>
      <c r="J744" s="13"/>
      <c r="T744" s="1">
        <f t="shared" si="89"/>
        <v>0</v>
      </c>
      <c r="U744" s="1">
        <f t="shared" si="90"/>
        <v>0</v>
      </c>
      <c r="V744" s="1">
        <f t="shared" si="91"/>
        <v>0</v>
      </c>
      <c r="W744" s="1">
        <f t="shared" si="92"/>
        <v>0</v>
      </c>
      <c r="X744" s="1">
        <f t="shared" si="93"/>
        <v>0</v>
      </c>
      <c r="Y744" s="1">
        <f t="shared" si="94"/>
        <v>0</v>
      </c>
      <c r="Z744" s="1">
        <f t="shared" si="95"/>
        <v>0</v>
      </c>
      <c r="AA744" s="1">
        <f t="shared" si="96"/>
        <v>0</v>
      </c>
    </row>
    <row r="745" spans="2:27" x14ac:dyDescent="0.3">
      <c r="B745" s="12"/>
      <c r="I745" s="14"/>
      <c r="J745" s="13"/>
      <c r="T745" s="1">
        <f t="shared" si="89"/>
        <v>0</v>
      </c>
      <c r="U745" s="1">
        <f t="shared" si="90"/>
        <v>0</v>
      </c>
      <c r="V745" s="1">
        <f t="shared" si="91"/>
        <v>0</v>
      </c>
      <c r="W745" s="1">
        <f t="shared" si="92"/>
        <v>0</v>
      </c>
      <c r="X745" s="1">
        <f t="shared" si="93"/>
        <v>0</v>
      </c>
      <c r="Y745" s="1">
        <f t="shared" si="94"/>
        <v>0</v>
      </c>
      <c r="Z745" s="1">
        <f t="shared" si="95"/>
        <v>0</v>
      </c>
      <c r="AA745" s="1">
        <f t="shared" si="96"/>
        <v>0</v>
      </c>
    </row>
    <row r="746" spans="2:27" x14ac:dyDescent="0.3">
      <c r="B746" s="12"/>
      <c r="I746" s="14"/>
      <c r="J746" s="13"/>
      <c r="T746" s="1">
        <f t="shared" si="89"/>
        <v>0</v>
      </c>
      <c r="U746" s="1">
        <f t="shared" si="90"/>
        <v>0</v>
      </c>
      <c r="V746" s="1">
        <f t="shared" si="91"/>
        <v>0</v>
      </c>
      <c r="W746" s="1">
        <f t="shared" si="92"/>
        <v>0</v>
      </c>
      <c r="X746" s="1">
        <f t="shared" si="93"/>
        <v>0</v>
      </c>
      <c r="Y746" s="1">
        <f t="shared" si="94"/>
        <v>0</v>
      </c>
      <c r="Z746" s="1">
        <f t="shared" si="95"/>
        <v>0</v>
      </c>
      <c r="AA746" s="1">
        <f t="shared" si="96"/>
        <v>0</v>
      </c>
    </row>
    <row r="747" spans="2:27" x14ac:dyDescent="0.3">
      <c r="B747" s="12"/>
      <c r="I747" s="14"/>
      <c r="J747" s="13"/>
      <c r="T747" s="1">
        <f t="shared" si="89"/>
        <v>0</v>
      </c>
      <c r="U747" s="1">
        <f t="shared" si="90"/>
        <v>0</v>
      </c>
      <c r="V747" s="1">
        <f t="shared" si="91"/>
        <v>0</v>
      </c>
      <c r="W747" s="1">
        <f t="shared" si="92"/>
        <v>0</v>
      </c>
      <c r="X747" s="1">
        <f t="shared" si="93"/>
        <v>0</v>
      </c>
      <c r="Y747" s="1">
        <f t="shared" si="94"/>
        <v>0</v>
      </c>
      <c r="Z747" s="1">
        <f t="shared" si="95"/>
        <v>0</v>
      </c>
      <c r="AA747" s="1">
        <f t="shared" si="96"/>
        <v>0</v>
      </c>
    </row>
    <row r="748" spans="2:27" x14ac:dyDescent="0.3">
      <c r="B748" s="12"/>
      <c r="I748" s="14"/>
      <c r="J748" s="13"/>
      <c r="T748" s="1">
        <f t="shared" si="89"/>
        <v>0</v>
      </c>
      <c r="U748" s="1">
        <f t="shared" si="90"/>
        <v>0</v>
      </c>
      <c r="V748" s="1">
        <f t="shared" si="91"/>
        <v>0</v>
      </c>
      <c r="W748" s="1">
        <f t="shared" si="92"/>
        <v>0</v>
      </c>
      <c r="X748" s="1">
        <f t="shared" si="93"/>
        <v>0</v>
      </c>
      <c r="Y748" s="1">
        <f t="shared" si="94"/>
        <v>0</v>
      </c>
      <c r="Z748" s="1">
        <f t="shared" si="95"/>
        <v>0</v>
      </c>
      <c r="AA748" s="1">
        <f t="shared" si="96"/>
        <v>0</v>
      </c>
    </row>
    <row r="749" spans="2:27" x14ac:dyDescent="0.3">
      <c r="B749" s="12"/>
      <c r="I749" s="14"/>
      <c r="J749" s="13"/>
      <c r="T749" s="1">
        <f t="shared" si="89"/>
        <v>0</v>
      </c>
      <c r="U749" s="1">
        <f t="shared" si="90"/>
        <v>0</v>
      </c>
      <c r="V749" s="1">
        <f t="shared" si="91"/>
        <v>0</v>
      </c>
      <c r="W749" s="1">
        <f t="shared" si="92"/>
        <v>0</v>
      </c>
      <c r="X749" s="1">
        <f t="shared" si="93"/>
        <v>0</v>
      </c>
      <c r="Y749" s="1">
        <f t="shared" si="94"/>
        <v>0</v>
      </c>
      <c r="Z749" s="1">
        <f t="shared" si="95"/>
        <v>0</v>
      </c>
      <c r="AA749" s="1">
        <f t="shared" si="96"/>
        <v>0</v>
      </c>
    </row>
    <row r="750" spans="2:27" x14ac:dyDescent="0.3">
      <c r="B750" s="12"/>
      <c r="I750" s="14"/>
      <c r="J750" s="13"/>
      <c r="T750" s="1">
        <f t="shared" si="89"/>
        <v>0</v>
      </c>
      <c r="U750" s="1">
        <f t="shared" si="90"/>
        <v>0</v>
      </c>
      <c r="V750" s="1">
        <f t="shared" si="91"/>
        <v>0</v>
      </c>
      <c r="W750" s="1">
        <f t="shared" si="92"/>
        <v>0</v>
      </c>
      <c r="X750" s="1">
        <f t="shared" si="93"/>
        <v>0</v>
      </c>
      <c r="Y750" s="1">
        <f t="shared" si="94"/>
        <v>0</v>
      </c>
      <c r="Z750" s="1">
        <f t="shared" si="95"/>
        <v>0</v>
      </c>
      <c r="AA750" s="1">
        <f t="shared" si="96"/>
        <v>0</v>
      </c>
    </row>
    <row r="751" spans="2:27" x14ac:dyDescent="0.3">
      <c r="B751" s="12"/>
      <c r="I751" s="14"/>
      <c r="J751" s="13"/>
      <c r="T751" s="1">
        <f t="shared" si="89"/>
        <v>0</v>
      </c>
      <c r="U751" s="1">
        <f t="shared" si="90"/>
        <v>0</v>
      </c>
      <c r="V751" s="1">
        <f t="shared" si="91"/>
        <v>0</v>
      </c>
      <c r="W751" s="1">
        <f t="shared" si="92"/>
        <v>0</v>
      </c>
      <c r="X751" s="1">
        <f t="shared" si="93"/>
        <v>0</v>
      </c>
      <c r="Y751" s="1">
        <f t="shared" si="94"/>
        <v>0</v>
      </c>
      <c r="Z751" s="1">
        <f t="shared" si="95"/>
        <v>0</v>
      </c>
      <c r="AA751" s="1">
        <f t="shared" si="96"/>
        <v>0</v>
      </c>
    </row>
    <row r="752" spans="2:27" x14ac:dyDescent="0.3">
      <c r="B752" s="12"/>
      <c r="I752" s="14"/>
      <c r="J752" s="13"/>
      <c r="T752" s="1">
        <f t="shared" si="89"/>
        <v>0</v>
      </c>
      <c r="U752" s="1">
        <f t="shared" si="90"/>
        <v>0</v>
      </c>
      <c r="V752" s="1">
        <f t="shared" si="91"/>
        <v>0</v>
      </c>
      <c r="W752" s="1">
        <f t="shared" si="92"/>
        <v>0</v>
      </c>
      <c r="X752" s="1">
        <f t="shared" si="93"/>
        <v>0</v>
      </c>
      <c r="Y752" s="1">
        <f t="shared" si="94"/>
        <v>0</v>
      </c>
      <c r="Z752" s="1">
        <f t="shared" si="95"/>
        <v>0</v>
      </c>
      <c r="AA752" s="1">
        <f t="shared" si="96"/>
        <v>0</v>
      </c>
    </row>
    <row r="753" spans="2:27" x14ac:dyDescent="0.3">
      <c r="B753" s="12"/>
      <c r="I753" s="14"/>
      <c r="J753" s="13"/>
      <c r="T753" s="1">
        <f t="shared" si="89"/>
        <v>0</v>
      </c>
      <c r="U753" s="1">
        <f t="shared" si="90"/>
        <v>0</v>
      </c>
      <c r="V753" s="1">
        <f t="shared" si="91"/>
        <v>0</v>
      </c>
      <c r="W753" s="1">
        <f t="shared" si="92"/>
        <v>0</v>
      </c>
      <c r="X753" s="1">
        <f t="shared" si="93"/>
        <v>0</v>
      </c>
      <c r="Y753" s="1">
        <f t="shared" si="94"/>
        <v>0</v>
      </c>
      <c r="Z753" s="1">
        <f t="shared" si="95"/>
        <v>0</v>
      </c>
      <c r="AA753" s="1">
        <f t="shared" si="96"/>
        <v>0</v>
      </c>
    </row>
    <row r="754" spans="2:27" x14ac:dyDescent="0.3">
      <c r="B754" s="12"/>
      <c r="I754" s="14"/>
      <c r="J754" s="13"/>
      <c r="T754" s="1">
        <f t="shared" si="89"/>
        <v>0</v>
      </c>
      <c r="U754" s="1">
        <f t="shared" si="90"/>
        <v>0</v>
      </c>
      <c r="V754" s="1">
        <f t="shared" si="91"/>
        <v>0</v>
      </c>
      <c r="W754" s="1">
        <f t="shared" si="92"/>
        <v>0</v>
      </c>
      <c r="X754" s="1">
        <f t="shared" si="93"/>
        <v>0</v>
      </c>
      <c r="Y754" s="1">
        <f t="shared" si="94"/>
        <v>0</v>
      </c>
      <c r="Z754" s="1">
        <f t="shared" si="95"/>
        <v>0</v>
      </c>
      <c r="AA754" s="1">
        <f t="shared" si="96"/>
        <v>0</v>
      </c>
    </row>
    <row r="755" spans="2:27" x14ac:dyDescent="0.3">
      <c r="B755" s="12"/>
      <c r="I755" s="14"/>
      <c r="J755" s="13"/>
      <c r="T755" s="1">
        <f t="shared" si="89"/>
        <v>0</v>
      </c>
      <c r="U755" s="1">
        <f t="shared" si="90"/>
        <v>0</v>
      </c>
      <c r="V755" s="1">
        <f t="shared" si="91"/>
        <v>0</v>
      </c>
      <c r="W755" s="1">
        <f t="shared" si="92"/>
        <v>0</v>
      </c>
      <c r="X755" s="1">
        <f t="shared" si="93"/>
        <v>0</v>
      </c>
      <c r="Y755" s="1">
        <f t="shared" si="94"/>
        <v>0</v>
      </c>
      <c r="Z755" s="1">
        <f t="shared" si="95"/>
        <v>0</v>
      </c>
      <c r="AA755" s="1">
        <f t="shared" si="96"/>
        <v>0</v>
      </c>
    </row>
    <row r="756" spans="2:27" x14ac:dyDescent="0.3">
      <c r="B756" s="12"/>
      <c r="I756" s="14"/>
      <c r="J756" s="13"/>
      <c r="T756" s="1">
        <f t="shared" si="89"/>
        <v>0</v>
      </c>
      <c r="U756" s="1">
        <f t="shared" si="90"/>
        <v>0</v>
      </c>
      <c r="V756" s="1">
        <f t="shared" si="91"/>
        <v>0</v>
      </c>
      <c r="W756" s="1">
        <f t="shared" si="92"/>
        <v>0</v>
      </c>
      <c r="X756" s="1">
        <f t="shared" si="93"/>
        <v>0</v>
      </c>
      <c r="Y756" s="1">
        <f t="shared" si="94"/>
        <v>0</v>
      </c>
      <c r="Z756" s="1">
        <f t="shared" si="95"/>
        <v>0</v>
      </c>
      <c r="AA756" s="1">
        <f t="shared" si="96"/>
        <v>0</v>
      </c>
    </row>
    <row r="757" spans="2:27" x14ac:dyDescent="0.3">
      <c r="B757" s="12"/>
      <c r="I757" s="14"/>
      <c r="J757" s="13"/>
      <c r="T757" s="1">
        <f t="shared" si="89"/>
        <v>0</v>
      </c>
      <c r="U757" s="1">
        <f t="shared" si="90"/>
        <v>0</v>
      </c>
      <c r="V757" s="1">
        <f t="shared" si="91"/>
        <v>0</v>
      </c>
      <c r="W757" s="1">
        <f t="shared" si="92"/>
        <v>0</v>
      </c>
      <c r="X757" s="1">
        <f t="shared" si="93"/>
        <v>0</v>
      </c>
      <c r="Y757" s="1">
        <f t="shared" si="94"/>
        <v>0</v>
      </c>
      <c r="Z757" s="1">
        <f t="shared" si="95"/>
        <v>0</v>
      </c>
      <c r="AA757" s="1">
        <f t="shared" si="96"/>
        <v>0</v>
      </c>
    </row>
    <row r="758" spans="2:27" x14ac:dyDescent="0.3">
      <c r="B758" s="12"/>
      <c r="I758" s="14"/>
      <c r="J758" s="13"/>
      <c r="T758" s="1">
        <f t="shared" si="89"/>
        <v>0</v>
      </c>
      <c r="U758" s="1">
        <f t="shared" si="90"/>
        <v>0</v>
      </c>
      <c r="V758" s="1">
        <f t="shared" si="91"/>
        <v>0</v>
      </c>
      <c r="W758" s="1">
        <f t="shared" si="92"/>
        <v>0</v>
      </c>
      <c r="X758" s="1">
        <f t="shared" si="93"/>
        <v>0</v>
      </c>
      <c r="Y758" s="1">
        <f t="shared" si="94"/>
        <v>0</v>
      </c>
      <c r="Z758" s="1">
        <f t="shared" si="95"/>
        <v>0</v>
      </c>
      <c r="AA758" s="1">
        <f t="shared" si="96"/>
        <v>0</v>
      </c>
    </row>
    <row r="759" spans="2:27" x14ac:dyDescent="0.3">
      <c r="B759" s="12"/>
      <c r="I759" s="14"/>
      <c r="J759" s="13"/>
      <c r="T759" s="1">
        <f t="shared" si="89"/>
        <v>0</v>
      </c>
      <c r="U759" s="1">
        <f t="shared" si="90"/>
        <v>0</v>
      </c>
      <c r="V759" s="1">
        <f t="shared" si="91"/>
        <v>0</v>
      </c>
      <c r="W759" s="1">
        <f t="shared" si="92"/>
        <v>0</v>
      </c>
      <c r="X759" s="1">
        <f t="shared" si="93"/>
        <v>0</v>
      </c>
      <c r="Y759" s="1">
        <f t="shared" si="94"/>
        <v>0</v>
      </c>
      <c r="Z759" s="1">
        <f t="shared" si="95"/>
        <v>0</v>
      </c>
      <c r="AA759" s="1">
        <f t="shared" si="96"/>
        <v>0</v>
      </c>
    </row>
    <row r="760" spans="2:27" x14ac:dyDescent="0.3">
      <c r="B760" s="12"/>
      <c r="I760" s="14"/>
      <c r="J760" s="13"/>
      <c r="T760" s="1">
        <f t="shared" si="89"/>
        <v>0</v>
      </c>
      <c r="U760" s="1">
        <f t="shared" si="90"/>
        <v>0</v>
      </c>
      <c r="V760" s="1">
        <f t="shared" si="91"/>
        <v>0</v>
      </c>
      <c r="W760" s="1">
        <f t="shared" si="92"/>
        <v>0</v>
      </c>
      <c r="X760" s="1">
        <f t="shared" si="93"/>
        <v>0</v>
      </c>
      <c r="Y760" s="1">
        <f t="shared" si="94"/>
        <v>0</v>
      </c>
      <c r="Z760" s="1">
        <f t="shared" si="95"/>
        <v>0</v>
      </c>
      <c r="AA760" s="1">
        <f t="shared" si="96"/>
        <v>0</v>
      </c>
    </row>
    <row r="761" spans="2:27" x14ac:dyDescent="0.3">
      <c r="B761" s="12"/>
      <c r="I761" s="14"/>
      <c r="J761" s="13"/>
      <c r="T761" s="1">
        <f t="shared" si="89"/>
        <v>0</v>
      </c>
      <c r="U761" s="1">
        <f t="shared" si="90"/>
        <v>0</v>
      </c>
      <c r="V761" s="1">
        <f t="shared" si="91"/>
        <v>0</v>
      </c>
      <c r="W761" s="1">
        <f t="shared" si="92"/>
        <v>0</v>
      </c>
      <c r="X761" s="1">
        <f t="shared" si="93"/>
        <v>0</v>
      </c>
      <c r="Y761" s="1">
        <f t="shared" si="94"/>
        <v>0</v>
      </c>
      <c r="Z761" s="1">
        <f t="shared" si="95"/>
        <v>0</v>
      </c>
      <c r="AA761" s="1">
        <f t="shared" si="96"/>
        <v>0</v>
      </c>
    </row>
    <row r="762" spans="2:27" x14ac:dyDescent="0.3">
      <c r="B762" s="12"/>
      <c r="I762" s="14"/>
      <c r="J762" s="13"/>
      <c r="T762" s="1">
        <f t="shared" si="89"/>
        <v>0</v>
      </c>
      <c r="U762" s="1">
        <f t="shared" si="90"/>
        <v>0</v>
      </c>
      <c r="V762" s="1">
        <f t="shared" si="91"/>
        <v>0</v>
      </c>
      <c r="W762" s="1">
        <f t="shared" si="92"/>
        <v>0</v>
      </c>
      <c r="X762" s="1">
        <f t="shared" si="93"/>
        <v>0</v>
      </c>
      <c r="Y762" s="1">
        <f t="shared" si="94"/>
        <v>0</v>
      </c>
      <c r="Z762" s="1">
        <f t="shared" si="95"/>
        <v>0</v>
      </c>
      <c r="AA762" s="1">
        <f t="shared" si="96"/>
        <v>0</v>
      </c>
    </row>
    <row r="763" spans="2:27" x14ac:dyDescent="0.3">
      <c r="B763" s="12"/>
      <c r="I763" s="14"/>
      <c r="J763" s="13"/>
      <c r="T763" s="1">
        <f t="shared" si="89"/>
        <v>0</v>
      </c>
      <c r="U763" s="1">
        <f t="shared" si="90"/>
        <v>0</v>
      </c>
      <c r="V763" s="1">
        <f t="shared" si="91"/>
        <v>0</v>
      </c>
      <c r="W763" s="1">
        <f t="shared" si="92"/>
        <v>0</v>
      </c>
      <c r="X763" s="1">
        <f t="shared" si="93"/>
        <v>0</v>
      </c>
      <c r="Y763" s="1">
        <f t="shared" si="94"/>
        <v>0</v>
      </c>
      <c r="Z763" s="1">
        <f t="shared" si="95"/>
        <v>0</v>
      </c>
      <c r="AA763" s="1">
        <f t="shared" si="96"/>
        <v>0</v>
      </c>
    </row>
    <row r="764" spans="2:27" x14ac:dyDescent="0.3">
      <c r="B764" s="12"/>
      <c r="I764" s="14"/>
      <c r="J764" s="13"/>
      <c r="T764" s="1">
        <f t="shared" si="89"/>
        <v>0</v>
      </c>
      <c r="U764" s="1">
        <f t="shared" si="90"/>
        <v>0</v>
      </c>
      <c r="V764" s="1">
        <f t="shared" si="91"/>
        <v>0</v>
      </c>
      <c r="W764" s="1">
        <f t="shared" si="92"/>
        <v>0</v>
      </c>
      <c r="X764" s="1">
        <f t="shared" si="93"/>
        <v>0</v>
      </c>
      <c r="Y764" s="1">
        <f t="shared" si="94"/>
        <v>0</v>
      </c>
      <c r="Z764" s="1">
        <f t="shared" si="95"/>
        <v>0</v>
      </c>
      <c r="AA764" s="1">
        <f t="shared" si="96"/>
        <v>0</v>
      </c>
    </row>
    <row r="765" spans="2:27" x14ac:dyDescent="0.3">
      <c r="B765" s="12"/>
      <c r="I765" s="14"/>
      <c r="J765" s="13"/>
      <c r="T765" s="1">
        <f t="shared" si="89"/>
        <v>0</v>
      </c>
      <c r="U765" s="1">
        <f t="shared" si="90"/>
        <v>0</v>
      </c>
      <c r="V765" s="1">
        <f t="shared" si="91"/>
        <v>0</v>
      </c>
      <c r="W765" s="1">
        <f t="shared" si="92"/>
        <v>0</v>
      </c>
      <c r="X765" s="1">
        <f t="shared" si="93"/>
        <v>0</v>
      </c>
      <c r="Y765" s="1">
        <f t="shared" si="94"/>
        <v>0</v>
      </c>
      <c r="Z765" s="1">
        <f t="shared" si="95"/>
        <v>0</v>
      </c>
      <c r="AA765" s="1">
        <f t="shared" si="96"/>
        <v>0</v>
      </c>
    </row>
    <row r="766" spans="2:27" x14ac:dyDescent="0.3">
      <c r="B766" s="12"/>
      <c r="I766" s="14"/>
      <c r="J766" s="13"/>
      <c r="T766" s="1">
        <f t="shared" si="89"/>
        <v>0</v>
      </c>
      <c r="U766" s="1">
        <f t="shared" si="90"/>
        <v>0</v>
      </c>
      <c r="V766" s="1">
        <f t="shared" si="91"/>
        <v>0</v>
      </c>
      <c r="W766" s="1">
        <f t="shared" si="92"/>
        <v>0</v>
      </c>
      <c r="X766" s="1">
        <f t="shared" si="93"/>
        <v>0</v>
      </c>
      <c r="Y766" s="1">
        <f t="shared" si="94"/>
        <v>0</v>
      </c>
      <c r="Z766" s="1">
        <f t="shared" si="95"/>
        <v>0</v>
      </c>
      <c r="AA766" s="1">
        <f t="shared" si="96"/>
        <v>0</v>
      </c>
    </row>
    <row r="767" spans="2:27" x14ac:dyDescent="0.3">
      <c r="B767" s="12"/>
      <c r="J767" s="13"/>
      <c r="T767" s="1">
        <f t="shared" si="89"/>
        <v>0</v>
      </c>
      <c r="U767" s="1">
        <f t="shared" si="90"/>
        <v>0</v>
      </c>
      <c r="V767" s="1">
        <f t="shared" si="91"/>
        <v>0</v>
      </c>
      <c r="W767" s="1">
        <f t="shared" si="92"/>
        <v>0</v>
      </c>
      <c r="X767" s="1">
        <f t="shared" si="93"/>
        <v>0</v>
      </c>
      <c r="Y767" s="1">
        <f t="shared" si="94"/>
        <v>0</v>
      </c>
      <c r="Z767" s="1">
        <f t="shared" si="95"/>
        <v>0</v>
      </c>
      <c r="AA767" s="1">
        <f t="shared" si="96"/>
        <v>0</v>
      </c>
    </row>
    <row r="768" spans="2:27" x14ac:dyDescent="0.3">
      <c r="B768" s="12"/>
      <c r="J768" s="13"/>
      <c r="T768" s="1">
        <f t="shared" si="89"/>
        <v>0</v>
      </c>
      <c r="U768" s="1">
        <f t="shared" si="90"/>
        <v>0</v>
      </c>
      <c r="V768" s="1">
        <f t="shared" si="91"/>
        <v>0</v>
      </c>
      <c r="W768" s="1">
        <f t="shared" si="92"/>
        <v>0</v>
      </c>
      <c r="X768" s="1">
        <f t="shared" si="93"/>
        <v>0</v>
      </c>
      <c r="Y768" s="1">
        <f t="shared" si="94"/>
        <v>0</v>
      </c>
      <c r="Z768" s="1">
        <f t="shared" si="95"/>
        <v>0</v>
      </c>
      <c r="AA768" s="1">
        <f t="shared" si="96"/>
        <v>0</v>
      </c>
    </row>
    <row r="769" spans="2:27" x14ac:dyDescent="0.3">
      <c r="B769" s="12"/>
      <c r="J769" s="13"/>
      <c r="T769" s="1">
        <f t="shared" si="89"/>
        <v>0</v>
      </c>
      <c r="U769" s="1">
        <f t="shared" si="90"/>
        <v>0</v>
      </c>
      <c r="V769" s="1">
        <f t="shared" si="91"/>
        <v>0</v>
      </c>
      <c r="W769" s="1">
        <f t="shared" si="92"/>
        <v>0</v>
      </c>
      <c r="X769" s="1">
        <f t="shared" si="93"/>
        <v>0</v>
      </c>
      <c r="Y769" s="1">
        <f t="shared" si="94"/>
        <v>0</v>
      </c>
      <c r="Z769" s="1">
        <f t="shared" si="95"/>
        <v>0</v>
      </c>
      <c r="AA769" s="1">
        <f t="shared" si="96"/>
        <v>0</v>
      </c>
    </row>
    <row r="770" spans="2:27" x14ac:dyDescent="0.3">
      <c r="B770" s="12"/>
      <c r="J770" s="13"/>
      <c r="T770" s="1">
        <f t="shared" si="89"/>
        <v>0</v>
      </c>
      <c r="U770" s="1">
        <f t="shared" si="90"/>
        <v>0</v>
      </c>
      <c r="V770" s="1">
        <f t="shared" si="91"/>
        <v>0</v>
      </c>
      <c r="W770" s="1">
        <f t="shared" si="92"/>
        <v>0</v>
      </c>
      <c r="X770" s="1">
        <f t="shared" si="93"/>
        <v>0</v>
      </c>
      <c r="Y770" s="1">
        <f t="shared" si="94"/>
        <v>0</v>
      </c>
      <c r="Z770" s="1">
        <f t="shared" si="95"/>
        <v>0</v>
      </c>
      <c r="AA770" s="1">
        <f t="shared" si="96"/>
        <v>0</v>
      </c>
    </row>
    <row r="771" spans="2:27" x14ac:dyDescent="0.3">
      <c r="B771" s="12"/>
      <c r="J771" s="13"/>
      <c r="T771" s="1">
        <f t="shared" si="89"/>
        <v>0</v>
      </c>
      <c r="U771" s="1">
        <f t="shared" si="90"/>
        <v>0</v>
      </c>
      <c r="V771" s="1">
        <f t="shared" si="91"/>
        <v>0</v>
      </c>
      <c r="W771" s="1">
        <f t="shared" si="92"/>
        <v>0</v>
      </c>
      <c r="X771" s="1">
        <f t="shared" si="93"/>
        <v>0</v>
      </c>
      <c r="Y771" s="1">
        <f t="shared" si="94"/>
        <v>0</v>
      </c>
      <c r="Z771" s="1">
        <f t="shared" si="95"/>
        <v>0</v>
      </c>
      <c r="AA771" s="1">
        <f t="shared" si="96"/>
        <v>0</v>
      </c>
    </row>
    <row r="772" spans="2:27" x14ac:dyDescent="0.3">
      <c r="B772" s="12"/>
      <c r="J772" s="13"/>
      <c r="T772" s="1">
        <f t="shared" si="89"/>
        <v>0</v>
      </c>
      <c r="U772" s="1">
        <f t="shared" si="90"/>
        <v>0</v>
      </c>
      <c r="V772" s="1">
        <f t="shared" si="91"/>
        <v>0</v>
      </c>
      <c r="W772" s="1">
        <f t="shared" si="92"/>
        <v>0</v>
      </c>
      <c r="X772" s="1">
        <f t="shared" si="93"/>
        <v>0</v>
      </c>
      <c r="Y772" s="1">
        <f t="shared" si="94"/>
        <v>0</v>
      </c>
      <c r="Z772" s="1">
        <f t="shared" si="95"/>
        <v>0</v>
      </c>
      <c r="AA772" s="1">
        <f t="shared" si="96"/>
        <v>0</v>
      </c>
    </row>
    <row r="773" spans="2:27" x14ac:dyDescent="0.3">
      <c r="B773" s="12"/>
      <c r="J773" s="13"/>
      <c r="T773" s="1">
        <f t="shared" si="89"/>
        <v>0</v>
      </c>
      <c r="U773" s="1">
        <f t="shared" si="90"/>
        <v>0</v>
      </c>
      <c r="V773" s="1">
        <f t="shared" si="91"/>
        <v>0</v>
      </c>
      <c r="W773" s="1">
        <f t="shared" si="92"/>
        <v>0</v>
      </c>
      <c r="X773" s="1">
        <f t="shared" si="93"/>
        <v>0</v>
      </c>
      <c r="Y773" s="1">
        <f t="shared" si="94"/>
        <v>0</v>
      </c>
      <c r="Z773" s="1">
        <f t="shared" si="95"/>
        <v>0</v>
      </c>
      <c r="AA773" s="1">
        <f t="shared" si="96"/>
        <v>0</v>
      </c>
    </row>
    <row r="774" spans="2:27" x14ac:dyDescent="0.3">
      <c r="B774" s="12"/>
      <c r="J774" s="13"/>
      <c r="T774" s="1">
        <f t="shared" si="89"/>
        <v>0</v>
      </c>
      <c r="U774" s="1">
        <f t="shared" si="90"/>
        <v>0</v>
      </c>
      <c r="V774" s="1">
        <f t="shared" si="91"/>
        <v>0</v>
      </c>
      <c r="W774" s="1">
        <f t="shared" si="92"/>
        <v>0</v>
      </c>
      <c r="X774" s="1">
        <f t="shared" si="93"/>
        <v>0</v>
      </c>
      <c r="Y774" s="1">
        <f t="shared" si="94"/>
        <v>0</v>
      </c>
      <c r="Z774" s="1">
        <f t="shared" si="95"/>
        <v>0</v>
      </c>
      <c r="AA774" s="1">
        <f t="shared" si="96"/>
        <v>0</v>
      </c>
    </row>
    <row r="775" spans="2:27" x14ac:dyDescent="0.3">
      <c r="B775" s="12"/>
      <c r="J775" s="13"/>
      <c r="T775" s="1">
        <f t="shared" ref="T775:T838" si="97">IF(AND(G775="-"),0,G775*F775)</f>
        <v>0</v>
      </c>
      <c r="U775" s="1">
        <f t="shared" ref="U775:U838" si="98">IF(AND(O775="-"),0,O775*N775)</f>
        <v>0</v>
      </c>
      <c r="V775" s="1">
        <f t="shared" ref="V775:V838" si="99">IFERROR(C775*H775,0)</f>
        <v>0</v>
      </c>
      <c r="W775" s="1">
        <f t="shared" ref="W775:W838" si="100">IFERROR(K775*P775,0)</f>
        <v>0</v>
      </c>
      <c r="X775" s="1">
        <f t="shared" ref="X775:X838" si="101">IFERROR(G775*1,0)</f>
        <v>0</v>
      </c>
      <c r="Y775" s="1">
        <f t="shared" ref="Y775:Y838" si="102">IFERROR(O775*1,0)</f>
        <v>0</v>
      </c>
      <c r="Z775" s="1">
        <f t="shared" ref="Z775:Z838" si="103">IFERROR(H775*1,0)</f>
        <v>0</v>
      </c>
      <c r="AA775" s="1">
        <f t="shared" ref="AA775:AA838" si="104">IFERROR(P775*1,0)</f>
        <v>0</v>
      </c>
    </row>
    <row r="776" spans="2:27" x14ac:dyDescent="0.3">
      <c r="B776" s="12"/>
      <c r="J776" s="13"/>
      <c r="T776" s="1">
        <f t="shared" si="97"/>
        <v>0</v>
      </c>
      <c r="U776" s="1">
        <f t="shared" si="98"/>
        <v>0</v>
      </c>
      <c r="V776" s="1">
        <f t="shared" si="99"/>
        <v>0</v>
      </c>
      <c r="W776" s="1">
        <f t="shared" si="100"/>
        <v>0</v>
      </c>
      <c r="X776" s="1">
        <f t="shared" si="101"/>
        <v>0</v>
      </c>
      <c r="Y776" s="1">
        <f t="shared" si="102"/>
        <v>0</v>
      </c>
      <c r="Z776" s="1">
        <f t="shared" si="103"/>
        <v>0</v>
      </c>
      <c r="AA776" s="1">
        <f t="shared" si="104"/>
        <v>0</v>
      </c>
    </row>
    <row r="777" spans="2:27" x14ac:dyDescent="0.3">
      <c r="B777" s="12"/>
      <c r="J777" s="13"/>
      <c r="T777" s="1">
        <f t="shared" si="97"/>
        <v>0</v>
      </c>
      <c r="U777" s="1">
        <f t="shared" si="98"/>
        <v>0</v>
      </c>
      <c r="V777" s="1">
        <f t="shared" si="99"/>
        <v>0</v>
      </c>
      <c r="W777" s="1">
        <f t="shared" si="100"/>
        <v>0</v>
      </c>
      <c r="X777" s="1">
        <f t="shared" si="101"/>
        <v>0</v>
      </c>
      <c r="Y777" s="1">
        <f t="shared" si="102"/>
        <v>0</v>
      </c>
      <c r="Z777" s="1">
        <f t="shared" si="103"/>
        <v>0</v>
      </c>
      <c r="AA777" s="1">
        <f t="shared" si="104"/>
        <v>0</v>
      </c>
    </row>
    <row r="778" spans="2:27" x14ac:dyDescent="0.3">
      <c r="B778" s="12"/>
      <c r="J778" s="13"/>
      <c r="T778" s="1">
        <f t="shared" si="97"/>
        <v>0</v>
      </c>
      <c r="U778" s="1">
        <f t="shared" si="98"/>
        <v>0</v>
      </c>
      <c r="V778" s="1">
        <f t="shared" si="99"/>
        <v>0</v>
      </c>
      <c r="W778" s="1">
        <f t="shared" si="100"/>
        <v>0</v>
      </c>
      <c r="X778" s="1">
        <f t="shared" si="101"/>
        <v>0</v>
      </c>
      <c r="Y778" s="1">
        <f t="shared" si="102"/>
        <v>0</v>
      </c>
      <c r="Z778" s="1">
        <f t="shared" si="103"/>
        <v>0</v>
      </c>
      <c r="AA778" s="1">
        <f t="shared" si="104"/>
        <v>0</v>
      </c>
    </row>
    <row r="779" spans="2:27" x14ac:dyDescent="0.3">
      <c r="B779" s="12"/>
      <c r="J779" s="13"/>
      <c r="T779" s="1">
        <f t="shared" si="97"/>
        <v>0</v>
      </c>
      <c r="U779" s="1">
        <f t="shared" si="98"/>
        <v>0</v>
      </c>
      <c r="V779" s="1">
        <f t="shared" si="99"/>
        <v>0</v>
      </c>
      <c r="W779" s="1">
        <f t="shared" si="100"/>
        <v>0</v>
      </c>
      <c r="X779" s="1">
        <f t="shared" si="101"/>
        <v>0</v>
      </c>
      <c r="Y779" s="1">
        <f t="shared" si="102"/>
        <v>0</v>
      </c>
      <c r="Z779" s="1">
        <f t="shared" si="103"/>
        <v>0</v>
      </c>
      <c r="AA779" s="1">
        <f t="shared" si="104"/>
        <v>0</v>
      </c>
    </row>
    <row r="780" spans="2:27" x14ac:dyDescent="0.3">
      <c r="B780" s="12"/>
      <c r="J780" s="13"/>
      <c r="T780" s="1">
        <f t="shared" si="97"/>
        <v>0</v>
      </c>
      <c r="U780" s="1">
        <f t="shared" si="98"/>
        <v>0</v>
      </c>
      <c r="V780" s="1">
        <f t="shared" si="99"/>
        <v>0</v>
      </c>
      <c r="W780" s="1">
        <f t="shared" si="100"/>
        <v>0</v>
      </c>
      <c r="X780" s="1">
        <f t="shared" si="101"/>
        <v>0</v>
      </c>
      <c r="Y780" s="1">
        <f t="shared" si="102"/>
        <v>0</v>
      </c>
      <c r="Z780" s="1">
        <f t="shared" si="103"/>
        <v>0</v>
      </c>
      <c r="AA780" s="1">
        <f t="shared" si="104"/>
        <v>0</v>
      </c>
    </row>
    <row r="781" spans="2:27" x14ac:dyDescent="0.3">
      <c r="B781" s="12"/>
      <c r="J781" s="13"/>
      <c r="T781" s="1">
        <f t="shared" si="97"/>
        <v>0</v>
      </c>
      <c r="U781" s="1">
        <f t="shared" si="98"/>
        <v>0</v>
      </c>
      <c r="V781" s="1">
        <f t="shared" si="99"/>
        <v>0</v>
      </c>
      <c r="W781" s="1">
        <f t="shared" si="100"/>
        <v>0</v>
      </c>
      <c r="X781" s="1">
        <f t="shared" si="101"/>
        <v>0</v>
      </c>
      <c r="Y781" s="1">
        <f t="shared" si="102"/>
        <v>0</v>
      </c>
      <c r="Z781" s="1">
        <f t="shared" si="103"/>
        <v>0</v>
      </c>
      <c r="AA781" s="1">
        <f t="shared" si="104"/>
        <v>0</v>
      </c>
    </row>
    <row r="782" spans="2:27" x14ac:dyDescent="0.3">
      <c r="B782" s="12"/>
      <c r="J782" s="13"/>
      <c r="T782" s="1">
        <f t="shared" si="97"/>
        <v>0</v>
      </c>
      <c r="U782" s="1">
        <f t="shared" si="98"/>
        <v>0</v>
      </c>
      <c r="V782" s="1">
        <f t="shared" si="99"/>
        <v>0</v>
      </c>
      <c r="W782" s="1">
        <f t="shared" si="100"/>
        <v>0</v>
      </c>
      <c r="X782" s="1">
        <f t="shared" si="101"/>
        <v>0</v>
      </c>
      <c r="Y782" s="1">
        <f t="shared" si="102"/>
        <v>0</v>
      </c>
      <c r="Z782" s="1">
        <f t="shared" si="103"/>
        <v>0</v>
      </c>
      <c r="AA782" s="1">
        <f t="shared" si="104"/>
        <v>0</v>
      </c>
    </row>
    <row r="783" spans="2:27" x14ac:dyDescent="0.3">
      <c r="B783" s="12"/>
      <c r="J783" s="13"/>
      <c r="T783" s="1">
        <f t="shared" si="97"/>
        <v>0</v>
      </c>
      <c r="U783" s="1">
        <f t="shared" si="98"/>
        <v>0</v>
      </c>
      <c r="V783" s="1">
        <f t="shared" si="99"/>
        <v>0</v>
      </c>
      <c r="W783" s="1">
        <f t="shared" si="100"/>
        <v>0</v>
      </c>
      <c r="X783" s="1">
        <f t="shared" si="101"/>
        <v>0</v>
      </c>
      <c r="Y783" s="1">
        <f t="shared" si="102"/>
        <v>0</v>
      </c>
      <c r="Z783" s="1">
        <f t="shared" si="103"/>
        <v>0</v>
      </c>
      <c r="AA783" s="1">
        <f t="shared" si="104"/>
        <v>0</v>
      </c>
    </row>
    <row r="784" spans="2:27" x14ac:dyDescent="0.3">
      <c r="B784" s="12"/>
      <c r="J784" s="13"/>
      <c r="T784" s="1">
        <f t="shared" si="97"/>
        <v>0</v>
      </c>
      <c r="U784" s="1">
        <f t="shared" si="98"/>
        <v>0</v>
      </c>
      <c r="V784" s="1">
        <f t="shared" si="99"/>
        <v>0</v>
      </c>
      <c r="W784" s="1">
        <f t="shared" si="100"/>
        <v>0</v>
      </c>
      <c r="X784" s="1">
        <f t="shared" si="101"/>
        <v>0</v>
      </c>
      <c r="Y784" s="1">
        <f t="shared" si="102"/>
        <v>0</v>
      </c>
      <c r="Z784" s="1">
        <f t="shared" si="103"/>
        <v>0</v>
      </c>
      <c r="AA784" s="1">
        <f t="shared" si="104"/>
        <v>0</v>
      </c>
    </row>
    <row r="785" spans="2:27" x14ac:dyDescent="0.3">
      <c r="B785" s="12"/>
      <c r="J785" s="13"/>
      <c r="T785" s="1">
        <f t="shared" si="97"/>
        <v>0</v>
      </c>
      <c r="U785" s="1">
        <f t="shared" si="98"/>
        <v>0</v>
      </c>
      <c r="V785" s="1">
        <f t="shared" si="99"/>
        <v>0</v>
      </c>
      <c r="W785" s="1">
        <f t="shared" si="100"/>
        <v>0</v>
      </c>
      <c r="X785" s="1">
        <f t="shared" si="101"/>
        <v>0</v>
      </c>
      <c r="Y785" s="1">
        <f t="shared" si="102"/>
        <v>0</v>
      </c>
      <c r="Z785" s="1">
        <f t="shared" si="103"/>
        <v>0</v>
      </c>
      <c r="AA785" s="1">
        <f t="shared" si="104"/>
        <v>0</v>
      </c>
    </row>
    <row r="786" spans="2:27" x14ac:dyDescent="0.3">
      <c r="B786" s="12"/>
      <c r="J786" s="13"/>
      <c r="T786" s="1">
        <f t="shared" si="97"/>
        <v>0</v>
      </c>
      <c r="U786" s="1">
        <f t="shared" si="98"/>
        <v>0</v>
      </c>
      <c r="V786" s="1">
        <f t="shared" si="99"/>
        <v>0</v>
      </c>
      <c r="W786" s="1">
        <f t="shared" si="100"/>
        <v>0</v>
      </c>
      <c r="X786" s="1">
        <f t="shared" si="101"/>
        <v>0</v>
      </c>
      <c r="Y786" s="1">
        <f t="shared" si="102"/>
        <v>0</v>
      </c>
      <c r="Z786" s="1">
        <f t="shared" si="103"/>
        <v>0</v>
      </c>
      <c r="AA786" s="1">
        <f t="shared" si="104"/>
        <v>0</v>
      </c>
    </row>
    <row r="787" spans="2:27" x14ac:dyDescent="0.3">
      <c r="B787" s="12"/>
      <c r="J787" s="13"/>
      <c r="T787" s="1">
        <f t="shared" si="97"/>
        <v>0</v>
      </c>
      <c r="U787" s="1">
        <f t="shared" si="98"/>
        <v>0</v>
      </c>
      <c r="V787" s="1">
        <f t="shared" si="99"/>
        <v>0</v>
      </c>
      <c r="W787" s="1">
        <f t="shared" si="100"/>
        <v>0</v>
      </c>
      <c r="X787" s="1">
        <f t="shared" si="101"/>
        <v>0</v>
      </c>
      <c r="Y787" s="1">
        <f t="shared" si="102"/>
        <v>0</v>
      </c>
      <c r="Z787" s="1">
        <f t="shared" si="103"/>
        <v>0</v>
      </c>
      <c r="AA787" s="1">
        <f t="shared" si="104"/>
        <v>0</v>
      </c>
    </row>
    <row r="788" spans="2:27" x14ac:dyDescent="0.3">
      <c r="B788" s="12"/>
      <c r="J788" s="13"/>
      <c r="T788" s="1">
        <f t="shared" si="97"/>
        <v>0</v>
      </c>
      <c r="U788" s="1">
        <f t="shared" si="98"/>
        <v>0</v>
      </c>
      <c r="V788" s="1">
        <f t="shared" si="99"/>
        <v>0</v>
      </c>
      <c r="W788" s="1">
        <f t="shared" si="100"/>
        <v>0</v>
      </c>
      <c r="X788" s="1">
        <f t="shared" si="101"/>
        <v>0</v>
      </c>
      <c r="Y788" s="1">
        <f t="shared" si="102"/>
        <v>0</v>
      </c>
      <c r="Z788" s="1">
        <f t="shared" si="103"/>
        <v>0</v>
      </c>
      <c r="AA788" s="1">
        <f t="shared" si="104"/>
        <v>0</v>
      </c>
    </row>
    <row r="789" spans="2:27" x14ac:dyDescent="0.3">
      <c r="B789" s="12"/>
      <c r="J789" s="13"/>
      <c r="T789" s="1">
        <f t="shared" si="97"/>
        <v>0</v>
      </c>
      <c r="U789" s="1">
        <f t="shared" si="98"/>
        <v>0</v>
      </c>
      <c r="V789" s="1">
        <f t="shared" si="99"/>
        <v>0</v>
      </c>
      <c r="W789" s="1">
        <f t="shared" si="100"/>
        <v>0</v>
      </c>
      <c r="X789" s="1">
        <f t="shared" si="101"/>
        <v>0</v>
      </c>
      <c r="Y789" s="1">
        <f t="shared" si="102"/>
        <v>0</v>
      </c>
      <c r="Z789" s="1">
        <f t="shared" si="103"/>
        <v>0</v>
      </c>
      <c r="AA789" s="1">
        <f t="shared" si="104"/>
        <v>0</v>
      </c>
    </row>
    <row r="790" spans="2:27" x14ac:dyDescent="0.3">
      <c r="B790" s="12"/>
      <c r="J790" s="13"/>
      <c r="T790" s="1">
        <f t="shared" si="97"/>
        <v>0</v>
      </c>
      <c r="U790" s="1">
        <f t="shared" si="98"/>
        <v>0</v>
      </c>
      <c r="V790" s="1">
        <f t="shared" si="99"/>
        <v>0</v>
      </c>
      <c r="W790" s="1">
        <f t="shared" si="100"/>
        <v>0</v>
      </c>
      <c r="X790" s="1">
        <f t="shared" si="101"/>
        <v>0</v>
      </c>
      <c r="Y790" s="1">
        <f t="shared" si="102"/>
        <v>0</v>
      </c>
      <c r="Z790" s="1">
        <f t="shared" si="103"/>
        <v>0</v>
      </c>
      <c r="AA790" s="1">
        <f t="shared" si="104"/>
        <v>0</v>
      </c>
    </row>
    <row r="791" spans="2:27" x14ac:dyDescent="0.3">
      <c r="B791" s="12"/>
      <c r="J791" s="13"/>
      <c r="T791" s="1">
        <f t="shared" si="97"/>
        <v>0</v>
      </c>
      <c r="U791" s="1">
        <f t="shared" si="98"/>
        <v>0</v>
      </c>
      <c r="V791" s="1">
        <f t="shared" si="99"/>
        <v>0</v>
      </c>
      <c r="W791" s="1">
        <f t="shared" si="100"/>
        <v>0</v>
      </c>
      <c r="X791" s="1">
        <f t="shared" si="101"/>
        <v>0</v>
      </c>
      <c r="Y791" s="1">
        <f t="shared" si="102"/>
        <v>0</v>
      </c>
      <c r="Z791" s="1">
        <f t="shared" si="103"/>
        <v>0</v>
      </c>
      <c r="AA791" s="1">
        <f t="shared" si="104"/>
        <v>0</v>
      </c>
    </row>
    <row r="792" spans="2:27" x14ac:dyDescent="0.3">
      <c r="B792" s="12"/>
      <c r="J792" s="13"/>
      <c r="T792" s="1">
        <f t="shared" si="97"/>
        <v>0</v>
      </c>
      <c r="U792" s="1">
        <f t="shared" si="98"/>
        <v>0</v>
      </c>
      <c r="V792" s="1">
        <f t="shared" si="99"/>
        <v>0</v>
      </c>
      <c r="W792" s="1">
        <f t="shared" si="100"/>
        <v>0</v>
      </c>
      <c r="X792" s="1">
        <f t="shared" si="101"/>
        <v>0</v>
      </c>
      <c r="Y792" s="1">
        <f t="shared" si="102"/>
        <v>0</v>
      </c>
      <c r="Z792" s="1">
        <f t="shared" si="103"/>
        <v>0</v>
      </c>
      <c r="AA792" s="1">
        <f t="shared" si="104"/>
        <v>0</v>
      </c>
    </row>
    <row r="793" spans="2:27" x14ac:dyDescent="0.3">
      <c r="B793" s="12"/>
      <c r="J793" s="13"/>
      <c r="T793" s="1">
        <f t="shared" si="97"/>
        <v>0</v>
      </c>
      <c r="U793" s="1">
        <f t="shared" si="98"/>
        <v>0</v>
      </c>
      <c r="V793" s="1">
        <f t="shared" si="99"/>
        <v>0</v>
      </c>
      <c r="W793" s="1">
        <f t="shared" si="100"/>
        <v>0</v>
      </c>
      <c r="X793" s="1">
        <f t="shared" si="101"/>
        <v>0</v>
      </c>
      <c r="Y793" s="1">
        <f t="shared" si="102"/>
        <v>0</v>
      </c>
      <c r="Z793" s="1">
        <f t="shared" si="103"/>
        <v>0</v>
      </c>
      <c r="AA793" s="1">
        <f t="shared" si="104"/>
        <v>0</v>
      </c>
    </row>
    <row r="794" spans="2:27" x14ac:dyDescent="0.3">
      <c r="B794" s="12"/>
      <c r="J794" s="13"/>
      <c r="T794" s="1">
        <f t="shared" si="97"/>
        <v>0</v>
      </c>
      <c r="U794" s="1">
        <f t="shared" si="98"/>
        <v>0</v>
      </c>
      <c r="V794" s="1">
        <f t="shared" si="99"/>
        <v>0</v>
      </c>
      <c r="W794" s="1">
        <f t="shared" si="100"/>
        <v>0</v>
      </c>
      <c r="X794" s="1">
        <f t="shared" si="101"/>
        <v>0</v>
      </c>
      <c r="Y794" s="1">
        <f t="shared" si="102"/>
        <v>0</v>
      </c>
      <c r="Z794" s="1">
        <f t="shared" si="103"/>
        <v>0</v>
      </c>
      <c r="AA794" s="1">
        <f t="shared" si="104"/>
        <v>0</v>
      </c>
    </row>
    <row r="795" spans="2:27" x14ac:dyDescent="0.3">
      <c r="B795" s="12"/>
      <c r="J795" s="13"/>
      <c r="T795" s="1">
        <f t="shared" si="97"/>
        <v>0</v>
      </c>
      <c r="U795" s="1">
        <f t="shared" si="98"/>
        <v>0</v>
      </c>
      <c r="V795" s="1">
        <f t="shared" si="99"/>
        <v>0</v>
      </c>
      <c r="W795" s="1">
        <f t="shared" si="100"/>
        <v>0</v>
      </c>
      <c r="X795" s="1">
        <f t="shared" si="101"/>
        <v>0</v>
      </c>
      <c r="Y795" s="1">
        <f t="shared" si="102"/>
        <v>0</v>
      </c>
      <c r="Z795" s="1">
        <f t="shared" si="103"/>
        <v>0</v>
      </c>
      <c r="AA795" s="1">
        <f t="shared" si="104"/>
        <v>0</v>
      </c>
    </row>
    <row r="796" spans="2:27" x14ac:dyDescent="0.3">
      <c r="B796" s="12"/>
      <c r="J796" s="13"/>
      <c r="T796" s="1">
        <f t="shared" si="97"/>
        <v>0</v>
      </c>
      <c r="U796" s="1">
        <f t="shared" si="98"/>
        <v>0</v>
      </c>
      <c r="V796" s="1">
        <f t="shared" si="99"/>
        <v>0</v>
      </c>
      <c r="W796" s="1">
        <f t="shared" si="100"/>
        <v>0</v>
      </c>
      <c r="X796" s="1">
        <f t="shared" si="101"/>
        <v>0</v>
      </c>
      <c r="Y796" s="1">
        <f t="shared" si="102"/>
        <v>0</v>
      </c>
      <c r="Z796" s="1">
        <f t="shared" si="103"/>
        <v>0</v>
      </c>
      <c r="AA796" s="1">
        <f t="shared" si="104"/>
        <v>0</v>
      </c>
    </row>
    <row r="797" spans="2:27" x14ac:dyDescent="0.3">
      <c r="B797" s="12"/>
      <c r="J797" s="13"/>
      <c r="T797" s="1">
        <f t="shared" si="97"/>
        <v>0</v>
      </c>
      <c r="U797" s="1">
        <f t="shared" si="98"/>
        <v>0</v>
      </c>
      <c r="V797" s="1">
        <f t="shared" si="99"/>
        <v>0</v>
      </c>
      <c r="W797" s="1">
        <f t="shared" si="100"/>
        <v>0</v>
      </c>
      <c r="X797" s="1">
        <f t="shared" si="101"/>
        <v>0</v>
      </c>
      <c r="Y797" s="1">
        <f t="shared" si="102"/>
        <v>0</v>
      </c>
      <c r="Z797" s="1">
        <f t="shared" si="103"/>
        <v>0</v>
      </c>
      <c r="AA797" s="1">
        <f t="shared" si="104"/>
        <v>0</v>
      </c>
    </row>
    <row r="798" spans="2:27" x14ac:dyDescent="0.3">
      <c r="B798" s="12"/>
      <c r="J798" s="13"/>
      <c r="T798" s="1">
        <f t="shared" si="97"/>
        <v>0</v>
      </c>
      <c r="U798" s="1">
        <f t="shared" si="98"/>
        <v>0</v>
      </c>
      <c r="V798" s="1">
        <f t="shared" si="99"/>
        <v>0</v>
      </c>
      <c r="W798" s="1">
        <f t="shared" si="100"/>
        <v>0</v>
      </c>
      <c r="X798" s="1">
        <f t="shared" si="101"/>
        <v>0</v>
      </c>
      <c r="Y798" s="1">
        <f t="shared" si="102"/>
        <v>0</v>
      </c>
      <c r="Z798" s="1">
        <f t="shared" si="103"/>
        <v>0</v>
      </c>
      <c r="AA798" s="1">
        <f t="shared" si="104"/>
        <v>0</v>
      </c>
    </row>
    <row r="799" spans="2:27" x14ac:dyDescent="0.3">
      <c r="B799" s="12"/>
      <c r="J799" s="13"/>
      <c r="T799" s="1">
        <f t="shared" si="97"/>
        <v>0</v>
      </c>
      <c r="U799" s="1">
        <f t="shared" si="98"/>
        <v>0</v>
      </c>
      <c r="V799" s="1">
        <f t="shared" si="99"/>
        <v>0</v>
      </c>
      <c r="W799" s="1">
        <f t="shared" si="100"/>
        <v>0</v>
      </c>
      <c r="X799" s="1">
        <f t="shared" si="101"/>
        <v>0</v>
      </c>
      <c r="Y799" s="1">
        <f t="shared" si="102"/>
        <v>0</v>
      </c>
      <c r="Z799" s="1">
        <f t="shared" si="103"/>
        <v>0</v>
      </c>
      <c r="AA799" s="1">
        <f t="shared" si="104"/>
        <v>0</v>
      </c>
    </row>
    <row r="800" spans="2:27" x14ac:dyDescent="0.3">
      <c r="B800" s="12"/>
      <c r="J800" s="13"/>
      <c r="T800" s="1">
        <f t="shared" si="97"/>
        <v>0</v>
      </c>
      <c r="U800" s="1">
        <f t="shared" si="98"/>
        <v>0</v>
      </c>
      <c r="V800" s="1">
        <f t="shared" si="99"/>
        <v>0</v>
      </c>
      <c r="W800" s="1">
        <f t="shared" si="100"/>
        <v>0</v>
      </c>
      <c r="X800" s="1">
        <f t="shared" si="101"/>
        <v>0</v>
      </c>
      <c r="Y800" s="1">
        <f t="shared" si="102"/>
        <v>0</v>
      </c>
      <c r="Z800" s="1">
        <f t="shared" si="103"/>
        <v>0</v>
      </c>
      <c r="AA800" s="1">
        <f t="shared" si="104"/>
        <v>0</v>
      </c>
    </row>
    <row r="801" spans="2:27" x14ac:dyDescent="0.3">
      <c r="B801" s="12"/>
      <c r="J801" s="13"/>
      <c r="T801" s="1">
        <f t="shared" si="97"/>
        <v>0</v>
      </c>
      <c r="U801" s="1">
        <f t="shared" si="98"/>
        <v>0</v>
      </c>
      <c r="V801" s="1">
        <f t="shared" si="99"/>
        <v>0</v>
      </c>
      <c r="W801" s="1">
        <f t="shared" si="100"/>
        <v>0</v>
      </c>
      <c r="X801" s="1">
        <f t="shared" si="101"/>
        <v>0</v>
      </c>
      <c r="Y801" s="1">
        <f t="shared" si="102"/>
        <v>0</v>
      </c>
      <c r="Z801" s="1">
        <f t="shared" si="103"/>
        <v>0</v>
      </c>
      <c r="AA801" s="1">
        <f t="shared" si="104"/>
        <v>0</v>
      </c>
    </row>
    <row r="802" spans="2:27" x14ac:dyDescent="0.3">
      <c r="B802" s="12"/>
      <c r="J802" s="13"/>
      <c r="T802" s="1">
        <f t="shared" si="97"/>
        <v>0</v>
      </c>
      <c r="U802" s="1">
        <f t="shared" si="98"/>
        <v>0</v>
      </c>
      <c r="V802" s="1">
        <f t="shared" si="99"/>
        <v>0</v>
      </c>
      <c r="W802" s="1">
        <f t="shared" si="100"/>
        <v>0</v>
      </c>
      <c r="X802" s="1">
        <f t="shared" si="101"/>
        <v>0</v>
      </c>
      <c r="Y802" s="1">
        <f t="shared" si="102"/>
        <v>0</v>
      </c>
      <c r="Z802" s="1">
        <f t="shared" si="103"/>
        <v>0</v>
      </c>
      <c r="AA802" s="1">
        <f t="shared" si="104"/>
        <v>0</v>
      </c>
    </row>
    <row r="803" spans="2:27" x14ac:dyDescent="0.3">
      <c r="B803" s="12"/>
      <c r="J803" s="13"/>
      <c r="T803" s="1">
        <f t="shared" si="97"/>
        <v>0</v>
      </c>
      <c r="U803" s="1">
        <f t="shared" si="98"/>
        <v>0</v>
      </c>
      <c r="V803" s="1">
        <f t="shared" si="99"/>
        <v>0</v>
      </c>
      <c r="W803" s="1">
        <f t="shared" si="100"/>
        <v>0</v>
      </c>
      <c r="X803" s="1">
        <f t="shared" si="101"/>
        <v>0</v>
      </c>
      <c r="Y803" s="1">
        <f t="shared" si="102"/>
        <v>0</v>
      </c>
      <c r="Z803" s="1">
        <f t="shared" si="103"/>
        <v>0</v>
      </c>
      <c r="AA803" s="1">
        <f t="shared" si="104"/>
        <v>0</v>
      </c>
    </row>
    <row r="804" spans="2:27" x14ac:dyDescent="0.3">
      <c r="B804" s="12"/>
      <c r="J804" s="13"/>
      <c r="T804" s="1">
        <f t="shared" si="97"/>
        <v>0</v>
      </c>
      <c r="U804" s="1">
        <f t="shared" si="98"/>
        <v>0</v>
      </c>
      <c r="V804" s="1">
        <f t="shared" si="99"/>
        <v>0</v>
      </c>
      <c r="W804" s="1">
        <f t="shared" si="100"/>
        <v>0</v>
      </c>
      <c r="X804" s="1">
        <f t="shared" si="101"/>
        <v>0</v>
      </c>
      <c r="Y804" s="1">
        <f t="shared" si="102"/>
        <v>0</v>
      </c>
      <c r="Z804" s="1">
        <f t="shared" si="103"/>
        <v>0</v>
      </c>
      <c r="AA804" s="1">
        <f t="shared" si="104"/>
        <v>0</v>
      </c>
    </row>
    <row r="805" spans="2:27" x14ac:dyDescent="0.3">
      <c r="B805" s="12"/>
      <c r="J805" s="13"/>
      <c r="T805" s="1">
        <f t="shared" si="97"/>
        <v>0</v>
      </c>
      <c r="U805" s="1">
        <f t="shared" si="98"/>
        <v>0</v>
      </c>
      <c r="V805" s="1">
        <f t="shared" si="99"/>
        <v>0</v>
      </c>
      <c r="W805" s="1">
        <f t="shared" si="100"/>
        <v>0</v>
      </c>
      <c r="X805" s="1">
        <f t="shared" si="101"/>
        <v>0</v>
      </c>
      <c r="Y805" s="1">
        <f t="shared" si="102"/>
        <v>0</v>
      </c>
      <c r="Z805" s="1">
        <f t="shared" si="103"/>
        <v>0</v>
      </c>
      <c r="AA805" s="1">
        <f t="shared" si="104"/>
        <v>0</v>
      </c>
    </row>
    <row r="806" spans="2:27" x14ac:dyDescent="0.3">
      <c r="B806" s="12"/>
      <c r="J806" s="13"/>
      <c r="T806" s="1">
        <f t="shared" si="97"/>
        <v>0</v>
      </c>
      <c r="U806" s="1">
        <f t="shared" si="98"/>
        <v>0</v>
      </c>
      <c r="V806" s="1">
        <f t="shared" si="99"/>
        <v>0</v>
      </c>
      <c r="W806" s="1">
        <f t="shared" si="100"/>
        <v>0</v>
      </c>
      <c r="X806" s="1">
        <f t="shared" si="101"/>
        <v>0</v>
      </c>
      <c r="Y806" s="1">
        <f t="shared" si="102"/>
        <v>0</v>
      </c>
      <c r="Z806" s="1">
        <f t="shared" si="103"/>
        <v>0</v>
      </c>
      <c r="AA806" s="1">
        <f t="shared" si="104"/>
        <v>0</v>
      </c>
    </row>
    <row r="807" spans="2:27" x14ac:dyDescent="0.3">
      <c r="B807" s="12"/>
      <c r="J807" s="13"/>
      <c r="T807" s="1">
        <f t="shared" si="97"/>
        <v>0</v>
      </c>
      <c r="U807" s="1">
        <f t="shared" si="98"/>
        <v>0</v>
      </c>
      <c r="V807" s="1">
        <f t="shared" si="99"/>
        <v>0</v>
      </c>
      <c r="W807" s="1">
        <f t="shared" si="100"/>
        <v>0</v>
      </c>
      <c r="X807" s="1">
        <f t="shared" si="101"/>
        <v>0</v>
      </c>
      <c r="Y807" s="1">
        <f t="shared" si="102"/>
        <v>0</v>
      </c>
      <c r="Z807" s="1">
        <f t="shared" si="103"/>
        <v>0</v>
      </c>
      <c r="AA807" s="1">
        <f t="shared" si="104"/>
        <v>0</v>
      </c>
    </row>
    <row r="808" spans="2:27" x14ac:dyDescent="0.3">
      <c r="B808" s="12"/>
      <c r="J808" s="13"/>
      <c r="T808" s="1">
        <f t="shared" si="97"/>
        <v>0</v>
      </c>
      <c r="U808" s="1">
        <f t="shared" si="98"/>
        <v>0</v>
      </c>
      <c r="V808" s="1">
        <f t="shared" si="99"/>
        <v>0</v>
      </c>
      <c r="W808" s="1">
        <f t="shared" si="100"/>
        <v>0</v>
      </c>
      <c r="X808" s="1">
        <f t="shared" si="101"/>
        <v>0</v>
      </c>
      <c r="Y808" s="1">
        <f t="shared" si="102"/>
        <v>0</v>
      </c>
      <c r="Z808" s="1">
        <f t="shared" si="103"/>
        <v>0</v>
      </c>
      <c r="AA808" s="1">
        <f t="shared" si="104"/>
        <v>0</v>
      </c>
    </row>
    <row r="809" spans="2:27" x14ac:dyDescent="0.3">
      <c r="B809" s="12"/>
      <c r="J809" s="13"/>
      <c r="T809" s="1">
        <f t="shared" si="97"/>
        <v>0</v>
      </c>
      <c r="U809" s="1">
        <f t="shared" si="98"/>
        <v>0</v>
      </c>
      <c r="V809" s="1">
        <f t="shared" si="99"/>
        <v>0</v>
      </c>
      <c r="W809" s="1">
        <f t="shared" si="100"/>
        <v>0</v>
      </c>
      <c r="X809" s="1">
        <f t="shared" si="101"/>
        <v>0</v>
      </c>
      <c r="Y809" s="1">
        <f t="shared" si="102"/>
        <v>0</v>
      </c>
      <c r="Z809" s="1">
        <f t="shared" si="103"/>
        <v>0</v>
      </c>
      <c r="AA809" s="1">
        <f t="shared" si="104"/>
        <v>0</v>
      </c>
    </row>
    <row r="810" spans="2:27" x14ac:dyDescent="0.3">
      <c r="B810" s="12"/>
      <c r="J810" s="13"/>
      <c r="T810" s="1">
        <f t="shared" si="97"/>
        <v>0</v>
      </c>
      <c r="U810" s="1">
        <f t="shared" si="98"/>
        <v>0</v>
      </c>
      <c r="V810" s="1">
        <f t="shared" si="99"/>
        <v>0</v>
      </c>
      <c r="W810" s="1">
        <f t="shared" si="100"/>
        <v>0</v>
      </c>
      <c r="X810" s="1">
        <f t="shared" si="101"/>
        <v>0</v>
      </c>
      <c r="Y810" s="1">
        <f t="shared" si="102"/>
        <v>0</v>
      </c>
      <c r="Z810" s="1">
        <f t="shared" si="103"/>
        <v>0</v>
      </c>
      <c r="AA810" s="1">
        <f t="shared" si="104"/>
        <v>0</v>
      </c>
    </row>
    <row r="811" spans="2:27" x14ac:dyDescent="0.3">
      <c r="B811" s="12"/>
      <c r="J811" s="13"/>
      <c r="T811" s="1">
        <f t="shared" si="97"/>
        <v>0</v>
      </c>
      <c r="U811" s="1">
        <f t="shared" si="98"/>
        <v>0</v>
      </c>
      <c r="V811" s="1">
        <f t="shared" si="99"/>
        <v>0</v>
      </c>
      <c r="W811" s="1">
        <f t="shared" si="100"/>
        <v>0</v>
      </c>
      <c r="X811" s="1">
        <f t="shared" si="101"/>
        <v>0</v>
      </c>
      <c r="Y811" s="1">
        <f t="shared" si="102"/>
        <v>0</v>
      </c>
      <c r="Z811" s="1">
        <f t="shared" si="103"/>
        <v>0</v>
      </c>
      <c r="AA811" s="1">
        <f t="shared" si="104"/>
        <v>0</v>
      </c>
    </row>
    <row r="812" spans="2:27" x14ac:dyDescent="0.3">
      <c r="B812" s="12"/>
      <c r="J812" s="13"/>
      <c r="T812" s="1">
        <f t="shared" si="97"/>
        <v>0</v>
      </c>
      <c r="U812" s="1">
        <f t="shared" si="98"/>
        <v>0</v>
      </c>
      <c r="V812" s="1">
        <f t="shared" si="99"/>
        <v>0</v>
      </c>
      <c r="W812" s="1">
        <f t="shared" si="100"/>
        <v>0</v>
      </c>
      <c r="X812" s="1">
        <f t="shared" si="101"/>
        <v>0</v>
      </c>
      <c r="Y812" s="1">
        <f t="shared" si="102"/>
        <v>0</v>
      </c>
      <c r="Z812" s="1">
        <f t="shared" si="103"/>
        <v>0</v>
      </c>
      <c r="AA812" s="1">
        <f t="shared" si="104"/>
        <v>0</v>
      </c>
    </row>
    <row r="813" spans="2:27" x14ac:dyDescent="0.3">
      <c r="B813" s="12"/>
      <c r="J813" s="13"/>
      <c r="T813" s="1">
        <f t="shared" si="97"/>
        <v>0</v>
      </c>
      <c r="U813" s="1">
        <f t="shared" si="98"/>
        <v>0</v>
      </c>
      <c r="V813" s="1">
        <f t="shared" si="99"/>
        <v>0</v>
      </c>
      <c r="W813" s="1">
        <f t="shared" si="100"/>
        <v>0</v>
      </c>
      <c r="X813" s="1">
        <f t="shared" si="101"/>
        <v>0</v>
      </c>
      <c r="Y813" s="1">
        <f t="shared" si="102"/>
        <v>0</v>
      </c>
      <c r="Z813" s="1">
        <f t="shared" si="103"/>
        <v>0</v>
      </c>
      <c r="AA813" s="1">
        <f t="shared" si="104"/>
        <v>0</v>
      </c>
    </row>
    <row r="814" spans="2:27" x14ac:dyDescent="0.3">
      <c r="B814" s="12"/>
      <c r="J814" s="13"/>
      <c r="T814" s="1">
        <f t="shared" si="97"/>
        <v>0</v>
      </c>
      <c r="U814" s="1">
        <f t="shared" si="98"/>
        <v>0</v>
      </c>
      <c r="V814" s="1">
        <f t="shared" si="99"/>
        <v>0</v>
      </c>
      <c r="W814" s="1">
        <f t="shared" si="100"/>
        <v>0</v>
      </c>
      <c r="X814" s="1">
        <f t="shared" si="101"/>
        <v>0</v>
      </c>
      <c r="Y814" s="1">
        <f t="shared" si="102"/>
        <v>0</v>
      </c>
      <c r="Z814" s="1">
        <f t="shared" si="103"/>
        <v>0</v>
      </c>
      <c r="AA814" s="1">
        <f t="shared" si="104"/>
        <v>0</v>
      </c>
    </row>
    <row r="815" spans="2:27" x14ac:dyDescent="0.3">
      <c r="B815" s="12"/>
      <c r="J815" s="13"/>
      <c r="T815" s="1">
        <f t="shared" si="97"/>
        <v>0</v>
      </c>
      <c r="U815" s="1">
        <f t="shared" si="98"/>
        <v>0</v>
      </c>
      <c r="V815" s="1">
        <f t="shared" si="99"/>
        <v>0</v>
      </c>
      <c r="W815" s="1">
        <f t="shared" si="100"/>
        <v>0</v>
      </c>
      <c r="X815" s="1">
        <f t="shared" si="101"/>
        <v>0</v>
      </c>
      <c r="Y815" s="1">
        <f t="shared" si="102"/>
        <v>0</v>
      </c>
      <c r="Z815" s="1">
        <f t="shared" si="103"/>
        <v>0</v>
      </c>
      <c r="AA815" s="1">
        <f t="shared" si="104"/>
        <v>0</v>
      </c>
    </row>
    <row r="816" spans="2:27" x14ac:dyDescent="0.3">
      <c r="B816" s="12"/>
      <c r="J816" s="13"/>
      <c r="T816" s="1">
        <f t="shared" si="97"/>
        <v>0</v>
      </c>
      <c r="U816" s="1">
        <f t="shared" si="98"/>
        <v>0</v>
      </c>
      <c r="V816" s="1">
        <f t="shared" si="99"/>
        <v>0</v>
      </c>
      <c r="W816" s="1">
        <f t="shared" si="100"/>
        <v>0</v>
      </c>
      <c r="X816" s="1">
        <f t="shared" si="101"/>
        <v>0</v>
      </c>
      <c r="Y816" s="1">
        <f t="shared" si="102"/>
        <v>0</v>
      </c>
      <c r="Z816" s="1">
        <f t="shared" si="103"/>
        <v>0</v>
      </c>
      <c r="AA816" s="1">
        <f t="shared" si="104"/>
        <v>0</v>
      </c>
    </row>
    <row r="817" spans="2:27" x14ac:dyDescent="0.3">
      <c r="B817" s="12"/>
      <c r="J817" s="13"/>
      <c r="T817" s="1">
        <f t="shared" si="97"/>
        <v>0</v>
      </c>
      <c r="U817" s="1">
        <f t="shared" si="98"/>
        <v>0</v>
      </c>
      <c r="V817" s="1">
        <f t="shared" si="99"/>
        <v>0</v>
      </c>
      <c r="W817" s="1">
        <f t="shared" si="100"/>
        <v>0</v>
      </c>
      <c r="X817" s="1">
        <f t="shared" si="101"/>
        <v>0</v>
      </c>
      <c r="Y817" s="1">
        <f t="shared" si="102"/>
        <v>0</v>
      </c>
      <c r="Z817" s="1">
        <f t="shared" si="103"/>
        <v>0</v>
      </c>
      <c r="AA817" s="1">
        <f t="shared" si="104"/>
        <v>0</v>
      </c>
    </row>
    <row r="818" spans="2:27" x14ac:dyDescent="0.3">
      <c r="B818" s="12"/>
      <c r="J818" s="13"/>
      <c r="T818" s="1">
        <f t="shared" si="97"/>
        <v>0</v>
      </c>
      <c r="U818" s="1">
        <f t="shared" si="98"/>
        <v>0</v>
      </c>
      <c r="V818" s="1">
        <f t="shared" si="99"/>
        <v>0</v>
      </c>
      <c r="W818" s="1">
        <f t="shared" si="100"/>
        <v>0</v>
      </c>
      <c r="X818" s="1">
        <f t="shared" si="101"/>
        <v>0</v>
      </c>
      <c r="Y818" s="1">
        <f t="shared" si="102"/>
        <v>0</v>
      </c>
      <c r="Z818" s="1">
        <f t="shared" si="103"/>
        <v>0</v>
      </c>
      <c r="AA818" s="1">
        <f t="shared" si="104"/>
        <v>0</v>
      </c>
    </row>
    <row r="819" spans="2:27" x14ac:dyDescent="0.3">
      <c r="B819" s="12"/>
      <c r="J819" s="13"/>
      <c r="T819" s="1">
        <f t="shared" si="97"/>
        <v>0</v>
      </c>
      <c r="U819" s="1">
        <f t="shared" si="98"/>
        <v>0</v>
      </c>
      <c r="V819" s="1">
        <f t="shared" si="99"/>
        <v>0</v>
      </c>
      <c r="W819" s="1">
        <f t="shared" si="100"/>
        <v>0</v>
      </c>
      <c r="X819" s="1">
        <f t="shared" si="101"/>
        <v>0</v>
      </c>
      <c r="Y819" s="1">
        <f t="shared" si="102"/>
        <v>0</v>
      </c>
      <c r="Z819" s="1">
        <f t="shared" si="103"/>
        <v>0</v>
      </c>
      <c r="AA819" s="1">
        <f t="shared" si="104"/>
        <v>0</v>
      </c>
    </row>
    <row r="820" spans="2:27" x14ac:dyDescent="0.3">
      <c r="B820" s="12"/>
      <c r="J820" s="13"/>
      <c r="T820" s="1">
        <f t="shared" si="97"/>
        <v>0</v>
      </c>
      <c r="U820" s="1">
        <f t="shared" si="98"/>
        <v>0</v>
      </c>
      <c r="V820" s="1">
        <f t="shared" si="99"/>
        <v>0</v>
      </c>
      <c r="W820" s="1">
        <f t="shared" si="100"/>
        <v>0</v>
      </c>
      <c r="X820" s="1">
        <f t="shared" si="101"/>
        <v>0</v>
      </c>
      <c r="Y820" s="1">
        <f t="shared" si="102"/>
        <v>0</v>
      </c>
      <c r="Z820" s="1">
        <f t="shared" si="103"/>
        <v>0</v>
      </c>
      <c r="AA820" s="1">
        <f t="shared" si="104"/>
        <v>0</v>
      </c>
    </row>
    <row r="821" spans="2:27" x14ac:dyDescent="0.3">
      <c r="B821" s="12"/>
      <c r="J821" s="13"/>
      <c r="T821" s="1">
        <f t="shared" si="97"/>
        <v>0</v>
      </c>
      <c r="U821" s="1">
        <f t="shared" si="98"/>
        <v>0</v>
      </c>
      <c r="V821" s="1">
        <f t="shared" si="99"/>
        <v>0</v>
      </c>
      <c r="W821" s="1">
        <f t="shared" si="100"/>
        <v>0</v>
      </c>
      <c r="X821" s="1">
        <f t="shared" si="101"/>
        <v>0</v>
      </c>
      <c r="Y821" s="1">
        <f t="shared" si="102"/>
        <v>0</v>
      </c>
      <c r="Z821" s="1">
        <f t="shared" si="103"/>
        <v>0</v>
      </c>
      <c r="AA821" s="1">
        <f t="shared" si="104"/>
        <v>0</v>
      </c>
    </row>
    <row r="822" spans="2:27" x14ac:dyDescent="0.3">
      <c r="B822" s="12"/>
      <c r="J822" s="13"/>
      <c r="T822" s="1">
        <f t="shared" si="97"/>
        <v>0</v>
      </c>
      <c r="U822" s="1">
        <f t="shared" si="98"/>
        <v>0</v>
      </c>
      <c r="V822" s="1">
        <f t="shared" si="99"/>
        <v>0</v>
      </c>
      <c r="W822" s="1">
        <f t="shared" si="100"/>
        <v>0</v>
      </c>
      <c r="X822" s="1">
        <f t="shared" si="101"/>
        <v>0</v>
      </c>
      <c r="Y822" s="1">
        <f t="shared" si="102"/>
        <v>0</v>
      </c>
      <c r="Z822" s="1">
        <f t="shared" si="103"/>
        <v>0</v>
      </c>
      <c r="AA822" s="1">
        <f t="shared" si="104"/>
        <v>0</v>
      </c>
    </row>
    <row r="823" spans="2:27" x14ac:dyDescent="0.3">
      <c r="B823" s="12"/>
      <c r="J823" s="13"/>
      <c r="T823" s="1">
        <f t="shared" si="97"/>
        <v>0</v>
      </c>
      <c r="U823" s="1">
        <f t="shared" si="98"/>
        <v>0</v>
      </c>
      <c r="V823" s="1">
        <f t="shared" si="99"/>
        <v>0</v>
      </c>
      <c r="W823" s="1">
        <f t="shared" si="100"/>
        <v>0</v>
      </c>
      <c r="X823" s="1">
        <f t="shared" si="101"/>
        <v>0</v>
      </c>
      <c r="Y823" s="1">
        <f t="shared" si="102"/>
        <v>0</v>
      </c>
      <c r="Z823" s="1">
        <f t="shared" si="103"/>
        <v>0</v>
      </c>
      <c r="AA823" s="1">
        <f t="shared" si="104"/>
        <v>0</v>
      </c>
    </row>
    <row r="824" spans="2:27" x14ac:dyDescent="0.3">
      <c r="B824" s="12"/>
      <c r="J824" s="13"/>
      <c r="T824" s="1">
        <f t="shared" si="97"/>
        <v>0</v>
      </c>
      <c r="U824" s="1">
        <f t="shared" si="98"/>
        <v>0</v>
      </c>
      <c r="V824" s="1">
        <f t="shared" si="99"/>
        <v>0</v>
      </c>
      <c r="W824" s="1">
        <f t="shared" si="100"/>
        <v>0</v>
      </c>
      <c r="X824" s="1">
        <f t="shared" si="101"/>
        <v>0</v>
      </c>
      <c r="Y824" s="1">
        <f t="shared" si="102"/>
        <v>0</v>
      </c>
      <c r="Z824" s="1">
        <f t="shared" si="103"/>
        <v>0</v>
      </c>
      <c r="AA824" s="1">
        <f t="shared" si="104"/>
        <v>0</v>
      </c>
    </row>
    <row r="825" spans="2:27" x14ac:dyDescent="0.3">
      <c r="B825" s="12"/>
      <c r="J825" s="13"/>
      <c r="T825" s="1">
        <f t="shared" si="97"/>
        <v>0</v>
      </c>
      <c r="U825" s="1">
        <f t="shared" si="98"/>
        <v>0</v>
      </c>
      <c r="V825" s="1">
        <f t="shared" si="99"/>
        <v>0</v>
      </c>
      <c r="W825" s="1">
        <f t="shared" si="100"/>
        <v>0</v>
      </c>
      <c r="X825" s="1">
        <f t="shared" si="101"/>
        <v>0</v>
      </c>
      <c r="Y825" s="1">
        <f t="shared" si="102"/>
        <v>0</v>
      </c>
      <c r="Z825" s="1">
        <f t="shared" si="103"/>
        <v>0</v>
      </c>
      <c r="AA825" s="1">
        <f t="shared" si="104"/>
        <v>0</v>
      </c>
    </row>
    <row r="826" spans="2:27" x14ac:dyDescent="0.3">
      <c r="B826" s="12"/>
      <c r="J826" s="13"/>
      <c r="T826" s="1">
        <f t="shared" si="97"/>
        <v>0</v>
      </c>
      <c r="U826" s="1">
        <f t="shared" si="98"/>
        <v>0</v>
      </c>
      <c r="V826" s="1">
        <f t="shared" si="99"/>
        <v>0</v>
      </c>
      <c r="W826" s="1">
        <f t="shared" si="100"/>
        <v>0</v>
      </c>
      <c r="X826" s="1">
        <f t="shared" si="101"/>
        <v>0</v>
      </c>
      <c r="Y826" s="1">
        <f t="shared" si="102"/>
        <v>0</v>
      </c>
      <c r="Z826" s="1">
        <f t="shared" si="103"/>
        <v>0</v>
      </c>
      <c r="AA826" s="1">
        <f t="shared" si="104"/>
        <v>0</v>
      </c>
    </row>
    <row r="827" spans="2:27" x14ac:dyDescent="0.3">
      <c r="B827" s="12"/>
      <c r="J827" s="13"/>
      <c r="T827" s="1">
        <f t="shared" si="97"/>
        <v>0</v>
      </c>
      <c r="U827" s="1">
        <f t="shared" si="98"/>
        <v>0</v>
      </c>
      <c r="V827" s="1">
        <f t="shared" si="99"/>
        <v>0</v>
      </c>
      <c r="W827" s="1">
        <f t="shared" si="100"/>
        <v>0</v>
      </c>
      <c r="X827" s="1">
        <f t="shared" si="101"/>
        <v>0</v>
      </c>
      <c r="Y827" s="1">
        <f t="shared" si="102"/>
        <v>0</v>
      </c>
      <c r="Z827" s="1">
        <f t="shared" si="103"/>
        <v>0</v>
      </c>
      <c r="AA827" s="1">
        <f t="shared" si="104"/>
        <v>0</v>
      </c>
    </row>
    <row r="828" spans="2:27" x14ac:dyDescent="0.3">
      <c r="B828" s="12"/>
      <c r="J828" s="13"/>
      <c r="T828" s="1">
        <f t="shared" si="97"/>
        <v>0</v>
      </c>
      <c r="U828" s="1">
        <f t="shared" si="98"/>
        <v>0</v>
      </c>
      <c r="V828" s="1">
        <f t="shared" si="99"/>
        <v>0</v>
      </c>
      <c r="W828" s="1">
        <f t="shared" si="100"/>
        <v>0</v>
      </c>
      <c r="X828" s="1">
        <f t="shared" si="101"/>
        <v>0</v>
      </c>
      <c r="Y828" s="1">
        <f t="shared" si="102"/>
        <v>0</v>
      </c>
      <c r="Z828" s="1">
        <f t="shared" si="103"/>
        <v>0</v>
      </c>
      <c r="AA828" s="1">
        <f t="shared" si="104"/>
        <v>0</v>
      </c>
    </row>
    <row r="829" spans="2:27" x14ac:dyDescent="0.3">
      <c r="B829" s="12"/>
      <c r="J829" s="13"/>
      <c r="T829" s="1">
        <f t="shared" si="97"/>
        <v>0</v>
      </c>
      <c r="U829" s="1">
        <f t="shared" si="98"/>
        <v>0</v>
      </c>
      <c r="V829" s="1">
        <f t="shared" si="99"/>
        <v>0</v>
      </c>
      <c r="W829" s="1">
        <f t="shared" si="100"/>
        <v>0</v>
      </c>
      <c r="X829" s="1">
        <f t="shared" si="101"/>
        <v>0</v>
      </c>
      <c r="Y829" s="1">
        <f t="shared" si="102"/>
        <v>0</v>
      </c>
      <c r="Z829" s="1">
        <f t="shared" si="103"/>
        <v>0</v>
      </c>
      <c r="AA829" s="1">
        <f t="shared" si="104"/>
        <v>0</v>
      </c>
    </row>
    <row r="830" spans="2:27" x14ac:dyDescent="0.3">
      <c r="B830" s="12"/>
      <c r="J830" s="13"/>
      <c r="T830" s="1">
        <f t="shared" si="97"/>
        <v>0</v>
      </c>
      <c r="U830" s="1">
        <f t="shared" si="98"/>
        <v>0</v>
      </c>
      <c r="V830" s="1">
        <f t="shared" si="99"/>
        <v>0</v>
      </c>
      <c r="W830" s="1">
        <f t="shared" si="100"/>
        <v>0</v>
      </c>
      <c r="X830" s="1">
        <f t="shared" si="101"/>
        <v>0</v>
      </c>
      <c r="Y830" s="1">
        <f t="shared" si="102"/>
        <v>0</v>
      </c>
      <c r="Z830" s="1">
        <f t="shared" si="103"/>
        <v>0</v>
      </c>
      <c r="AA830" s="1">
        <f t="shared" si="104"/>
        <v>0</v>
      </c>
    </row>
    <row r="831" spans="2:27" x14ac:dyDescent="0.3">
      <c r="B831" s="12"/>
      <c r="J831" s="13"/>
      <c r="T831" s="1">
        <f t="shared" si="97"/>
        <v>0</v>
      </c>
      <c r="U831" s="1">
        <f t="shared" si="98"/>
        <v>0</v>
      </c>
      <c r="V831" s="1">
        <f t="shared" si="99"/>
        <v>0</v>
      </c>
      <c r="W831" s="1">
        <f t="shared" si="100"/>
        <v>0</v>
      </c>
      <c r="X831" s="1">
        <f t="shared" si="101"/>
        <v>0</v>
      </c>
      <c r="Y831" s="1">
        <f t="shared" si="102"/>
        <v>0</v>
      </c>
      <c r="Z831" s="1">
        <f t="shared" si="103"/>
        <v>0</v>
      </c>
      <c r="AA831" s="1">
        <f t="shared" si="104"/>
        <v>0</v>
      </c>
    </row>
    <row r="832" spans="2:27" x14ac:dyDescent="0.3">
      <c r="B832" s="12"/>
      <c r="J832" s="13"/>
      <c r="T832" s="1">
        <f t="shared" si="97"/>
        <v>0</v>
      </c>
      <c r="U832" s="1">
        <f t="shared" si="98"/>
        <v>0</v>
      </c>
      <c r="V832" s="1">
        <f t="shared" si="99"/>
        <v>0</v>
      </c>
      <c r="W832" s="1">
        <f t="shared" si="100"/>
        <v>0</v>
      </c>
      <c r="X832" s="1">
        <f t="shared" si="101"/>
        <v>0</v>
      </c>
      <c r="Y832" s="1">
        <f t="shared" si="102"/>
        <v>0</v>
      </c>
      <c r="Z832" s="1">
        <f t="shared" si="103"/>
        <v>0</v>
      </c>
      <c r="AA832" s="1">
        <f t="shared" si="104"/>
        <v>0</v>
      </c>
    </row>
    <row r="833" spans="2:27" x14ac:dyDescent="0.3">
      <c r="B833" s="12"/>
      <c r="J833" s="13"/>
      <c r="T833" s="1">
        <f t="shared" si="97"/>
        <v>0</v>
      </c>
      <c r="U833" s="1">
        <f t="shared" si="98"/>
        <v>0</v>
      </c>
      <c r="V833" s="1">
        <f t="shared" si="99"/>
        <v>0</v>
      </c>
      <c r="W833" s="1">
        <f t="shared" si="100"/>
        <v>0</v>
      </c>
      <c r="X833" s="1">
        <f t="shared" si="101"/>
        <v>0</v>
      </c>
      <c r="Y833" s="1">
        <f t="shared" si="102"/>
        <v>0</v>
      </c>
      <c r="Z833" s="1">
        <f t="shared" si="103"/>
        <v>0</v>
      </c>
      <c r="AA833" s="1">
        <f t="shared" si="104"/>
        <v>0</v>
      </c>
    </row>
    <row r="834" spans="2:27" x14ac:dyDescent="0.3">
      <c r="B834" s="12"/>
      <c r="J834" s="13"/>
      <c r="T834" s="1">
        <f t="shared" si="97"/>
        <v>0</v>
      </c>
      <c r="U834" s="1">
        <f t="shared" si="98"/>
        <v>0</v>
      </c>
      <c r="V834" s="1">
        <f t="shared" si="99"/>
        <v>0</v>
      </c>
      <c r="W834" s="1">
        <f t="shared" si="100"/>
        <v>0</v>
      </c>
      <c r="X834" s="1">
        <f t="shared" si="101"/>
        <v>0</v>
      </c>
      <c r="Y834" s="1">
        <f t="shared" si="102"/>
        <v>0</v>
      </c>
      <c r="Z834" s="1">
        <f t="shared" si="103"/>
        <v>0</v>
      </c>
      <c r="AA834" s="1">
        <f t="shared" si="104"/>
        <v>0</v>
      </c>
    </row>
    <row r="835" spans="2:27" x14ac:dyDescent="0.3">
      <c r="B835" s="12"/>
      <c r="J835" s="13"/>
      <c r="T835" s="1">
        <f t="shared" si="97"/>
        <v>0</v>
      </c>
      <c r="U835" s="1">
        <f t="shared" si="98"/>
        <v>0</v>
      </c>
      <c r="V835" s="1">
        <f t="shared" si="99"/>
        <v>0</v>
      </c>
      <c r="W835" s="1">
        <f t="shared" si="100"/>
        <v>0</v>
      </c>
      <c r="X835" s="1">
        <f t="shared" si="101"/>
        <v>0</v>
      </c>
      <c r="Y835" s="1">
        <f t="shared" si="102"/>
        <v>0</v>
      </c>
      <c r="Z835" s="1">
        <f t="shared" si="103"/>
        <v>0</v>
      </c>
      <c r="AA835" s="1">
        <f t="shared" si="104"/>
        <v>0</v>
      </c>
    </row>
    <row r="836" spans="2:27" x14ac:dyDescent="0.3">
      <c r="B836" s="12"/>
      <c r="J836" s="13"/>
      <c r="T836" s="1">
        <f t="shared" si="97"/>
        <v>0</v>
      </c>
      <c r="U836" s="1">
        <f t="shared" si="98"/>
        <v>0</v>
      </c>
      <c r="V836" s="1">
        <f t="shared" si="99"/>
        <v>0</v>
      </c>
      <c r="W836" s="1">
        <f t="shared" si="100"/>
        <v>0</v>
      </c>
      <c r="X836" s="1">
        <f t="shared" si="101"/>
        <v>0</v>
      </c>
      <c r="Y836" s="1">
        <f t="shared" si="102"/>
        <v>0</v>
      </c>
      <c r="Z836" s="1">
        <f t="shared" si="103"/>
        <v>0</v>
      </c>
      <c r="AA836" s="1">
        <f t="shared" si="104"/>
        <v>0</v>
      </c>
    </row>
    <row r="837" spans="2:27" x14ac:dyDescent="0.3">
      <c r="B837" s="12"/>
      <c r="J837" s="13"/>
      <c r="T837" s="1">
        <f t="shared" si="97"/>
        <v>0</v>
      </c>
      <c r="U837" s="1">
        <f t="shared" si="98"/>
        <v>0</v>
      </c>
      <c r="V837" s="1">
        <f t="shared" si="99"/>
        <v>0</v>
      </c>
      <c r="W837" s="1">
        <f t="shared" si="100"/>
        <v>0</v>
      </c>
      <c r="X837" s="1">
        <f t="shared" si="101"/>
        <v>0</v>
      </c>
      <c r="Y837" s="1">
        <f t="shared" si="102"/>
        <v>0</v>
      </c>
      <c r="Z837" s="1">
        <f t="shared" si="103"/>
        <v>0</v>
      </c>
      <c r="AA837" s="1">
        <f t="shared" si="104"/>
        <v>0</v>
      </c>
    </row>
    <row r="838" spans="2:27" x14ac:dyDescent="0.3">
      <c r="B838" s="12"/>
      <c r="J838" s="13"/>
      <c r="T838" s="1">
        <f t="shared" si="97"/>
        <v>0</v>
      </c>
      <c r="U838" s="1">
        <f t="shared" si="98"/>
        <v>0</v>
      </c>
      <c r="V838" s="1">
        <f t="shared" si="99"/>
        <v>0</v>
      </c>
      <c r="W838" s="1">
        <f t="shared" si="100"/>
        <v>0</v>
      </c>
      <c r="X838" s="1">
        <f t="shared" si="101"/>
        <v>0</v>
      </c>
      <c r="Y838" s="1">
        <f t="shared" si="102"/>
        <v>0</v>
      </c>
      <c r="Z838" s="1">
        <f t="shared" si="103"/>
        <v>0</v>
      </c>
      <c r="AA838" s="1">
        <f t="shared" si="104"/>
        <v>0</v>
      </c>
    </row>
    <row r="839" spans="2:27" x14ac:dyDescent="0.3">
      <c r="B839" s="12"/>
      <c r="J839" s="13"/>
      <c r="T839" s="1">
        <f t="shared" ref="T839:T902" si="105">IF(AND(G839="-"),0,G839*F839)</f>
        <v>0</v>
      </c>
      <c r="U839" s="1">
        <f t="shared" ref="U839:U902" si="106">IF(AND(O839="-"),0,O839*N839)</f>
        <v>0</v>
      </c>
      <c r="V839" s="1">
        <f t="shared" ref="V839:V902" si="107">IFERROR(C839*H839,0)</f>
        <v>0</v>
      </c>
      <c r="W839" s="1">
        <f t="shared" ref="W839:W902" si="108">IFERROR(K839*P839,0)</f>
        <v>0</v>
      </c>
      <c r="X839" s="1">
        <f t="shared" ref="X839:X902" si="109">IFERROR(G839*1,0)</f>
        <v>0</v>
      </c>
      <c r="Y839" s="1">
        <f t="shared" ref="Y839:Y902" si="110">IFERROR(O839*1,0)</f>
        <v>0</v>
      </c>
      <c r="Z839" s="1">
        <f t="shared" ref="Z839:Z902" si="111">IFERROR(H839*1,0)</f>
        <v>0</v>
      </c>
      <c r="AA839" s="1">
        <f t="shared" ref="AA839:AA902" si="112">IFERROR(P839*1,0)</f>
        <v>0</v>
      </c>
    </row>
    <row r="840" spans="2:27" x14ac:dyDescent="0.3">
      <c r="B840" s="12"/>
      <c r="J840" s="13"/>
      <c r="T840" s="1">
        <f t="shared" si="105"/>
        <v>0</v>
      </c>
      <c r="U840" s="1">
        <f t="shared" si="106"/>
        <v>0</v>
      </c>
      <c r="V840" s="1">
        <f t="shared" si="107"/>
        <v>0</v>
      </c>
      <c r="W840" s="1">
        <f t="shared" si="108"/>
        <v>0</v>
      </c>
      <c r="X840" s="1">
        <f t="shared" si="109"/>
        <v>0</v>
      </c>
      <c r="Y840" s="1">
        <f t="shared" si="110"/>
        <v>0</v>
      </c>
      <c r="Z840" s="1">
        <f t="shared" si="111"/>
        <v>0</v>
      </c>
      <c r="AA840" s="1">
        <f t="shared" si="112"/>
        <v>0</v>
      </c>
    </row>
    <row r="841" spans="2:27" x14ac:dyDescent="0.3">
      <c r="B841" s="12"/>
      <c r="J841" s="13"/>
      <c r="T841" s="1">
        <f t="shared" si="105"/>
        <v>0</v>
      </c>
      <c r="U841" s="1">
        <f t="shared" si="106"/>
        <v>0</v>
      </c>
      <c r="V841" s="1">
        <f t="shared" si="107"/>
        <v>0</v>
      </c>
      <c r="W841" s="1">
        <f t="shared" si="108"/>
        <v>0</v>
      </c>
      <c r="X841" s="1">
        <f t="shared" si="109"/>
        <v>0</v>
      </c>
      <c r="Y841" s="1">
        <f t="shared" si="110"/>
        <v>0</v>
      </c>
      <c r="Z841" s="1">
        <f t="shared" si="111"/>
        <v>0</v>
      </c>
      <c r="AA841" s="1">
        <f t="shared" si="112"/>
        <v>0</v>
      </c>
    </row>
    <row r="842" spans="2:27" x14ac:dyDescent="0.3">
      <c r="B842" s="12"/>
      <c r="J842" s="13"/>
      <c r="T842" s="1">
        <f t="shared" si="105"/>
        <v>0</v>
      </c>
      <c r="U842" s="1">
        <f t="shared" si="106"/>
        <v>0</v>
      </c>
      <c r="V842" s="1">
        <f t="shared" si="107"/>
        <v>0</v>
      </c>
      <c r="W842" s="1">
        <f t="shared" si="108"/>
        <v>0</v>
      </c>
      <c r="X842" s="1">
        <f t="shared" si="109"/>
        <v>0</v>
      </c>
      <c r="Y842" s="1">
        <f t="shared" si="110"/>
        <v>0</v>
      </c>
      <c r="Z842" s="1">
        <f t="shared" si="111"/>
        <v>0</v>
      </c>
      <c r="AA842" s="1">
        <f t="shared" si="112"/>
        <v>0</v>
      </c>
    </row>
    <row r="843" spans="2:27" x14ac:dyDescent="0.3">
      <c r="B843" s="12"/>
      <c r="J843" s="13"/>
      <c r="T843" s="1">
        <f t="shared" si="105"/>
        <v>0</v>
      </c>
      <c r="U843" s="1">
        <f t="shared" si="106"/>
        <v>0</v>
      </c>
      <c r="V843" s="1">
        <f t="shared" si="107"/>
        <v>0</v>
      </c>
      <c r="W843" s="1">
        <f t="shared" si="108"/>
        <v>0</v>
      </c>
      <c r="X843" s="1">
        <f t="shared" si="109"/>
        <v>0</v>
      </c>
      <c r="Y843" s="1">
        <f t="shared" si="110"/>
        <v>0</v>
      </c>
      <c r="Z843" s="1">
        <f t="shared" si="111"/>
        <v>0</v>
      </c>
      <c r="AA843" s="1">
        <f t="shared" si="112"/>
        <v>0</v>
      </c>
    </row>
    <row r="844" spans="2:27" x14ac:dyDescent="0.3">
      <c r="B844" s="12"/>
      <c r="J844" s="13"/>
      <c r="T844" s="1">
        <f t="shared" si="105"/>
        <v>0</v>
      </c>
      <c r="U844" s="1">
        <f t="shared" si="106"/>
        <v>0</v>
      </c>
      <c r="V844" s="1">
        <f t="shared" si="107"/>
        <v>0</v>
      </c>
      <c r="W844" s="1">
        <f t="shared" si="108"/>
        <v>0</v>
      </c>
      <c r="X844" s="1">
        <f t="shared" si="109"/>
        <v>0</v>
      </c>
      <c r="Y844" s="1">
        <f t="shared" si="110"/>
        <v>0</v>
      </c>
      <c r="Z844" s="1">
        <f t="shared" si="111"/>
        <v>0</v>
      </c>
      <c r="AA844" s="1">
        <f t="shared" si="112"/>
        <v>0</v>
      </c>
    </row>
    <row r="845" spans="2:27" x14ac:dyDescent="0.3">
      <c r="B845" s="12"/>
      <c r="J845" s="13"/>
      <c r="T845" s="1">
        <f t="shared" si="105"/>
        <v>0</v>
      </c>
      <c r="U845" s="1">
        <f t="shared" si="106"/>
        <v>0</v>
      </c>
      <c r="V845" s="1">
        <f t="shared" si="107"/>
        <v>0</v>
      </c>
      <c r="W845" s="1">
        <f t="shared" si="108"/>
        <v>0</v>
      </c>
      <c r="X845" s="1">
        <f t="shared" si="109"/>
        <v>0</v>
      </c>
      <c r="Y845" s="1">
        <f t="shared" si="110"/>
        <v>0</v>
      </c>
      <c r="Z845" s="1">
        <f t="shared" si="111"/>
        <v>0</v>
      </c>
      <c r="AA845" s="1">
        <f t="shared" si="112"/>
        <v>0</v>
      </c>
    </row>
    <row r="846" spans="2:27" x14ac:dyDescent="0.3">
      <c r="B846" s="12"/>
      <c r="J846" s="13"/>
      <c r="T846" s="1">
        <f t="shared" si="105"/>
        <v>0</v>
      </c>
      <c r="U846" s="1">
        <f t="shared" si="106"/>
        <v>0</v>
      </c>
      <c r="V846" s="1">
        <f t="shared" si="107"/>
        <v>0</v>
      </c>
      <c r="W846" s="1">
        <f t="shared" si="108"/>
        <v>0</v>
      </c>
      <c r="X846" s="1">
        <f t="shared" si="109"/>
        <v>0</v>
      </c>
      <c r="Y846" s="1">
        <f t="shared" si="110"/>
        <v>0</v>
      </c>
      <c r="Z846" s="1">
        <f t="shared" si="111"/>
        <v>0</v>
      </c>
      <c r="AA846" s="1">
        <f t="shared" si="112"/>
        <v>0</v>
      </c>
    </row>
    <row r="847" spans="2:27" x14ac:dyDescent="0.3">
      <c r="B847" s="12"/>
      <c r="J847" s="13"/>
      <c r="T847" s="1">
        <f t="shared" si="105"/>
        <v>0</v>
      </c>
      <c r="U847" s="1">
        <f t="shared" si="106"/>
        <v>0</v>
      </c>
      <c r="V847" s="1">
        <f t="shared" si="107"/>
        <v>0</v>
      </c>
      <c r="W847" s="1">
        <f t="shared" si="108"/>
        <v>0</v>
      </c>
      <c r="X847" s="1">
        <f t="shared" si="109"/>
        <v>0</v>
      </c>
      <c r="Y847" s="1">
        <f t="shared" si="110"/>
        <v>0</v>
      </c>
      <c r="Z847" s="1">
        <f t="shared" si="111"/>
        <v>0</v>
      </c>
      <c r="AA847" s="1">
        <f t="shared" si="112"/>
        <v>0</v>
      </c>
    </row>
    <row r="848" spans="2:27" x14ac:dyDescent="0.3">
      <c r="B848" s="12"/>
      <c r="J848" s="13"/>
      <c r="T848" s="1">
        <f t="shared" si="105"/>
        <v>0</v>
      </c>
      <c r="U848" s="1">
        <f t="shared" si="106"/>
        <v>0</v>
      </c>
      <c r="V848" s="1">
        <f t="shared" si="107"/>
        <v>0</v>
      </c>
      <c r="W848" s="1">
        <f t="shared" si="108"/>
        <v>0</v>
      </c>
      <c r="X848" s="1">
        <f t="shared" si="109"/>
        <v>0</v>
      </c>
      <c r="Y848" s="1">
        <f t="shared" si="110"/>
        <v>0</v>
      </c>
      <c r="Z848" s="1">
        <f t="shared" si="111"/>
        <v>0</v>
      </c>
      <c r="AA848" s="1">
        <f t="shared" si="112"/>
        <v>0</v>
      </c>
    </row>
    <row r="849" spans="2:27" x14ac:dyDescent="0.3">
      <c r="B849" s="12"/>
      <c r="J849" s="13"/>
      <c r="T849" s="1">
        <f t="shared" si="105"/>
        <v>0</v>
      </c>
      <c r="U849" s="1">
        <f t="shared" si="106"/>
        <v>0</v>
      </c>
      <c r="V849" s="1">
        <f t="shared" si="107"/>
        <v>0</v>
      </c>
      <c r="W849" s="1">
        <f t="shared" si="108"/>
        <v>0</v>
      </c>
      <c r="X849" s="1">
        <f t="shared" si="109"/>
        <v>0</v>
      </c>
      <c r="Y849" s="1">
        <f t="shared" si="110"/>
        <v>0</v>
      </c>
      <c r="Z849" s="1">
        <f t="shared" si="111"/>
        <v>0</v>
      </c>
      <c r="AA849" s="1">
        <f t="shared" si="112"/>
        <v>0</v>
      </c>
    </row>
    <row r="850" spans="2:27" x14ac:dyDescent="0.3">
      <c r="B850" s="12"/>
      <c r="J850" s="13"/>
      <c r="T850" s="1">
        <f t="shared" si="105"/>
        <v>0</v>
      </c>
      <c r="U850" s="1">
        <f t="shared" si="106"/>
        <v>0</v>
      </c>
      <c r="V850" s="1">
        <f t="shared" si="107"/>
        <v>0</v>
      </c>
      <c r="W850" s="1">
        <f t="shared" si="108"/>
        <v>0</v>
      </c>
      <c r="X850" s="1">
        <f t="shared" si="109"/>
        <v>0</v>
      </c>
      <c r="Y850" s="1">
        <f t="shared" si="110"/>
        <v>0</v>
      </c>
      <c r="Z850" s="1">
        <f t="shared" si="111"/>
        <v>0</v>
      </c>
      <c r="AA850" s="1">
        <f t="shared" si="112"/>
        <v>0</v>
      </c>
    </row>
    <row r="851" spans="2:27" x14ac:dyDescent="0.3">
      <c r="B851" s="12"/>
      <c r="J851" s="13"/>
      <c r="T851" s="1">
        <f t="shared" si="105"/>
        <v>0</v>
      </c>
      <c r="U851" s="1">
        <f t="shared" si="106"/>
        <v>0</v>
      </c>
      <c r="V851" s="1">
        <f t="shared" si="107"/>
        <v>0</v>
      </c>
      <c r="W851" s="1">
        <f t="shared" si="108"/>
        <v>0</v>
      </c>
      <c r="X851" s="1">
        <f t="shared" si="109"/>
        <v>0</v>
      </c>
      <c r="Y851" s="1">
        <f t="shared" si="110"/>
        <v>0</v>
      </c>
      <c r="Z851" s="1">
        <f t="shared" si="111"/>
        <v>0</v>
      </c>
      <c r="AA851" s="1">
        <f t="shared" si="112"/>
        <v>0</v>
      </c>
    </row>
    <row r="852" spans="2:27" x14ac:dyDescent="0.3">
      <c r="B852" s="12"/>
      <c r="J852" s="13"/>
      <c r="T852" s="1">
        <f t="shared" si="105"/>
        <v>0</v>
      </c>
      <c r="U852" s="1">
        <f t="shared" si="106"/>
        <v>0</v>
      </c>
      <c r="V852" s="1">
        <f t="shared" si="107"/>
        <v>0</v>
      </c>
      <c r="W852" s="1">
        <f t="shared" si="108"/>
        <v>0</v>
      </c>
      <c r="X852" s="1">
        <f t="shared" si="109"/>
        <v>0</v>
      </c>
      <c r="Y852" s="1">
        <f t="shared" si="110"/>
        <v>0</v>
      </c>
      <c r="Z852" s="1">
        <f t="shared" si="111"/>
        <v>0</v>
      </c>
      <c r="AA852" s="1">
        <f t="shared" si="112"/>
        <v>0</v>
      </c>
    </row>
    <row r="853" spans="2:27" x14ac:dyDescent="0.3">
      <c r="B853" s="12"/>
      <c r="J853" s="13"/>
      <c r="T853" s="1">
        <f t="shared" si="105"/>
        <v>0</v>
      </c>
      <c r="U853" s="1">
        <f t="shared" si="106"/>
        <v>0</v>
      </c>
      <c r="V853" s="1">
        <f t="shared" si="107"/>
        <v>0</v>
      </c>
      <c r="W853" s="1">
        <f t="shared" si="108"/>
        <v>0</v>
      </c>
      <c r="X853" s="1">
        <f t="shared" si="109"/>
        <v>0</v>
      </c>
      <c r="Y853" s="1">
        <f t="shared" si="110"/>
        <v>0</v>
      </c>
      <c r="Z853" s="1">
        <f t="shared" si="111"/>
        <v>0</v>
      </c>
      <c r="AA853" s="1">
        <f t="shared" si="112"/>
        <v>0</v>
      </c>
    </row>
    <row r="854" spans="2:27" x14ac:dyDescent="0.3">
      <c r="B854" s="12"/>
      <c r="J854" s="13"/>
      <c r="T854" s="1">
        <f t="shared" si="105"/>
        <v>0</v>
      </c>
      <c r="U854" s="1">
        <f t="shared" si="106"/>
        <v>0</v>
      </c>
      <c r="V854" s="1">
        <f t="shared" si="107"/>
        <v>0</v>
      </c>
      <c r="W854" s="1">
        <f t="shared" si="108"/>
        <v>0</v>
      </c>
      <c r="X854" s="1">
        <f t="shared" si="109"/>
        <v>0</v>
      </c>
      <c r="Y854" s="1">
        <f t="shared" si="110"/>
        <v>0</v>
      </c>
      <c r="Z854" s="1">
        <f t="shared" si="111"/>
        <v>0</v>
      </c>
      <c r="AA854" s="1">
        <f t="shared" si="112"/>
        <v>0</v>
      </c>
    </row>
    <row r="855" spans="2:27" x14ac:dyDescent="0.3">
      <c r="B855" s="12"/>
      <c r="J855" s="13"/>
      <c r="T855" s="1">
        <f t="shared" si="105"/>
        <v>0</v>
      </c>
      <c r="U855" s="1">
        <f t="shared" si="106"/>
        <v>0</v>
      </c>
      <c r="V855" s="1">
        <f t="shared" si="107"/>
        <v>0</v>
      </c>
      <c r="W855" s="1">
        <f t="shared" si="108"/>
        <v>0</v>
      </c>
      <c r="X855" s="1">
        <f t="shared" si="109"/>
        <v>0</v>
      </c>
      <c r="Y855" s="1">
        <f t="shared" si="110"/>
        <v>0</v>
      </c>
      <c r="Z855" s="1">
        <f t="shared" si="111"/>
        <v>0</v>
      </c>
      <c r="AA855" s="1">
        <f t="shared" si="112"/>
        <v>0</v>
      </c>
    </row>
    <row r="856" spans="2:27" x14ac:dyDescent="0.3">
      <c r="B856" s="12"/>
      <c r="J856" s="13"/>
      <c r="T856" s="1">
        <f t="shared" si="105"/>
        <v>0</v>
      </c>
      <c r="U856" s="1">
        <f t="shared" si="106"/>
        <v>0</v>
      </c>
      <c r="V856" s="1">
        <f t="shared" si="107"/>
        <v>0</v>
      </c>
      <c r="W856" s="1">
        <f t="shared" si="108"/>
        <v>0</v>
      </c>
      <c r="X856" s="1">
        <f t="shared" si="109"/>
        <v>0</v>
      </c>
      <c r="Y856" s="1">
        <f t="shared" si="110"/>
        <v>0</v>
      </c>
      <c r="Z856" s="1">
        <f t="shared" si="111"/>
        <v>0</v>
      </c>
      <c r="AA856" s="1">
        <f t="shared" si="112"/>
        <v>0</v>
      </c>
    </row>
    <row r="857" spans="2:27" x14ac:dyDescent="0.3">
      <c r="B857" s="12"/>
      <c r="J857" s="13"/>
      <c r="T857" s="1">
        <f t="shared" si="105"/>
        <v>0</v>
      </c>
      <c r="U857" s="1">
        <f t="shared" si="106"/>
        <v>0</v>
      </c>
      <c r="V857" s="1">
        <f t="shared" si="107"/>
        <v>0</v>
      </c>
      <c r="W857" s="1">
        <f t="shared" si="108"/>
        <v>0</v>
      </c>
      <c r="X857" s="1">
        <f t="shared" si="109"/>
        <v>0</v>
      </c>
      <c r="Y857" s="1">
        <f t="shared" si="110"/>
        <v>0</v>
      </c>
      <c r="Z857" s="1">
        <f t="shared" si="111"/>
        <v>0</v>
      </c>
      <c r="AA857" s="1">
        <f t="shared" si="112"/>
        <v>0</v>
      </c>
    </row>
    <row r="858" spans="2:27" x14ac:dyDescent="0.3">
      <c r="B858" s="12"/>
      <c r="J858" s="13"/>
      <c r="T858" s="1">
        <f t="shared" si="105"/>
        <v>0</v>
      </c>
      <c r="U858" s="1">
        <f t="shared" si="106"/>
        <v>0</v>
      </c>
      <c r="V858" s="1">
        <f t="shared" si="107"/>
        <v>0</v>
      </c>
      <c r="W858" s="1">
        <f t="shared" si="108"/>
        <v>0</v>
      </c>
      <c r="X858" s="1">
        <f t="shared" si="109"/>
        <v>0</v>
      </c>
      <c r="Y858" s="1">
        <f t="shared" si="110"/>
        <v>0</v>
      </c>
      <c r="Z858" s="1">
        <f t="shared" si="111"/>
        <v>0</v>
      </c>
      <c r="AA858" s="1">
        <f t="shared" si="112"/>
        <v>0</v>
      </c>
    </row>
    <row r="859" spans="2:27" x14ac:dyDescent="0.3">
      <c r="B859" s="12"/>
      <c r="J859" s="13"/>
      <c r="T859" s="1">
        <f t="shared" si="105"/>
        <v>0</v>
      </c>
      <c r="U859" s="1">
        <f t="shared" si="106"/>
        <v>0</v>
      </c>
      <c r="V859" s="1">
        <f t="shared" si="107"/>
        <v>0</v>
      </c>
      <c r="W859" s="1">
        <f t="shared" si="108"/>
        <v>0</v>
      </c>
      <c r="X859" s="1">
        <f t="shared" si="109"/>
        <v>0</v>
      </c>
      <c r="Y859" s="1">
        <f t="shared" si="110"/>
        <v>0</v>
      </c>
      <c r="Z859" s="1">
        <f t="shared" si="111"/>
        <v>0</v>
      </c>
      <c r="AA859" s="1">
        <f t="shared" si="112"/>
        <v>0</v>
      </c>
    </row>
    <row r="860" spans="2:27" x14ac:dyDescent="0.3">
      <c r="B860" s="12"/>
      <c r="J860" s="13"/>
      <c r="T860" s="1">
        <f t="shared" si="105"/>
        <v>0</v>
      </c>
      <c r="U860" s="1">
        <f t="shared" si="106"/>
        <v>0</v>
      </c>
      <c r="V860" s="1">
        <f t="shared" si="107"/>
        <v>0</v>
      </c>
      <c r="W860" s="1">
        <f t="shared" si="108"/>
        <v>0</v>
      </c>
      <c r="X860" s="1">
        <f t="shared" si="109"/>
        <v>0</v>
      </c>
      <c r="Y860" s="1">
        <f t="shared" si="110"/>
        <v>0</v>
      </c>
      <c r="Z860" s="1">
        <f t="shared" si="111"/>
        <v>0</v>
      </c>
      <c r="AA860" s="1">
        <f t="shared" si="112"/>
        <v>0</v>
      </c>
    </row>
    <row r="861" spans="2:27" x14ac:dyDescent="0.3">
      <c r="B861" s="12"/>
      <c r="J861" s="13"/>
      <c r="T861" s="1">
        <f t="shared" si="105"/>
        <v>0</v>
      </c>
      <c r="U861" s="1">
        <f t="shared" si="106"/>
        <v>0</v>
      </c>
      <c r="V861" s="1">
        <f t="shared" si="107"/>
        <v>0</v>
      </c>
      <c r="W861" s="1">
        <f t="shared" si="108"/>
        <v>0</v>
      </c>
      <c r="X861" s="1">
        <f t="shared" si="109"/>
        <v>0</v>
      </c>
      <c r="Y861" s="1">
        <f t="shared" si="110"/>
        <v>0</v>
      </c>
      <c r="Z861" s="1">
        <f t="shared" si="111"/>
        <v>0</v>
      </c>
      <c r="AA861" s="1">
        <f t="shared" si="112"/>
        <v>0</v>
      </c>
    </row>
    <row r="862" spans="2:27" x14ac:dyDescent="0.3">
      <c r="B862" s="12"/>
      <c r="J862" s="13"/>
      <c r="T862" s="1">
        <f t="shared" si="105"/>
        <v>0</v>
      </c>
      <c r="U862" s="1">
        <f t="shared" si="106"/>
        <v>0</v>
      </c>
      <c r="V862" s="1">
        <f t="shared" si="107"/>
        <v>0</v>
      </c>
      <c r="W862" s="1">
        <f t="shared" si="108"/>
        <v>0</v>
      </c>
      <c r="X862" s="1">
        <f t="shared" si="109"/>
        <v>0</v>
      </c>
      <c r="Y862" s="1">
        <f t="shared" si="110"/>
        <v>0</v>
      </c>
      <c r="Z862" s="1">
        <f t="shared" si="111"/>
        <v>0</v>
      </c>
      <c r="AA862" s="1">
        <f t="shared" si="112"/>
        <v>0</v>
      </c>
    </row>
    <row r="863" spans="2:27" x14ac:dyDescent="0.3">
      <c r="B863" s="12"/>
      <c r="I863" s="14"/>
      <c r="J863" s="13"/>
      <c r="T863" s="1">
        <f t="shared" si="105"/>
        <v>0</v>
      </c>
      <c r="U863" s="1">
        <f t="shared" si="106"/>
        <v>0</v>
      </c>
      <c r="V863" s="1">
        <f t="shared" si="107"/>
        <v>0</v>
      </c>
      <c r="W863" s="1">
        <f t="shared" si="108"/>
        <v>0</v>
      </c>
      <c r="X863" s="1">
        <f t="shared" si="109"/>
        <v>0</v>
      </c>
      <c r="Y863" s="1">
        <f t="shared" si="110"/>
        <v>0</v>
      </c>
      <c r="Z863" s="1">
        <f t="shared" si="111"/>
        <v>0</v>
      </c>
      <c r="AA863" s="1">
        <f t="shared" si="112"/>
        <v>0</v>
      </c>
    </row>
    <row r="864" spans="2:27" x14ac:dyDescent="0.3">
      <c r="B864" s="12"/>
      <c r="I864" s="14"/>
      <c r="J864" s="13"/>
      <c r="T864" s="1">
        <f t="shared" si="105"/>
        <v>0</v>
      </c>
      <c r="U864" s="1">
        <f t="shared" si="106"/>
        <v>0</v>
      </c>
      <c r="V864" s="1">
        <f t="shared" si="107"/>
        <v>0</v>
      </c>
      <c r="W864" s="1">
        <f t="shared" si="108"/>
        <v>0</v>
      </c>
      <c r="X864" s="1">
        <f t="shared" si="109"/>
        <v>0</v>
      </c>
      <c r="Y864" s="1">
        <f t="shared" si="110"/>
        <v>0</v>
      </c>
      <c r="Z864" s="1">
        <f t="shared" si="111"/>
        <v>0</v>
      </c>
      <c r="AA864" s="1">
        <f t="shared" si="112"/>
        <v>0</v>
      </c>
    </row>
    <row r="865" spans="2:27" x14ac:dyDescent="0.3">
      <c r="B865" s="12"/>
      <c r="I865" s="14"/>
      <c r="J865" s="13"/>
      <c r="T865" s="1">
        <f t="shared" si="105"/>
        <v>0</v>
      </c>
      <c r="U865" s="1">
        <f t="shared" si="106"/>
        <v>0</v>
      </c>
      <c r="V865" s="1">
        <f t="shared" si="107"/>
        <v>0</v>
      </c>
      <c r="W865" s="1">
        <f t="shared" si="108"/>
        <v>0</v>
      </c>
      <c r="X865" s="1">
        <f t="shared" si="109"/>
        <v>0</v>
      </c>
      <c r="Y865" s="1">
        <f t="shared" si="110"/>
        <v>0</v>
      </c>
      <c r="Z865" s="1">
        <f t="shared" si="111"/>
        <v>0</v>
      </c>
      <c r="AA865" s="1">
        <f t="shared" si="112"/>
        <v>0</v>
      </c>
    </row>
    <row r="866" spans="2:27" x14ac:dyDescent="0.3">
      <c r="B866" s="12"/>
      <c r="I866" s="14"/>
      <c r="J866" s="13"/>
      <c r="T866" s="1">
        <f t="shared" si="105"/>
        <v>0</v>
      </c>
      <c r="U866" s="1">
        <f t="shared" si="106"/>
        <v>0</v>
      </c>
      <c r="V866" s="1">
        <f t="shared" si="107"/>
        <v>0</v>
      </c>
      <c r="W866" s="1">
        <f t="shared" si="108"/>
        <v>0</v>
      </c>
      <c r="X866" s="1">
        <f t="shared" si="109"/>
        <v>0</v>
      </c>
      <c r="Y866" s="1">
        <f t="shared" si="110"/>
        <v>0</v>
      </c>
      <c r="Z866" s="1">
        <f t="shared" si="111"/>
        <v>0</v>
      </c>
      <c r="AA866" s="1">
        <f t="shared" si="112"/>
        <v>0</v>
      </c>
    </row>
    <row r="867" spans="2:27" x14ac:dyDescent="0.3">
      <c r="B867" s="12"/>
      <c r="I867" s="14"/>
      <c r="J867" s="13"/>
      <c r="T867" s="1">
        <f t="shared" si="105"/>
        <v>0</v>
      </c>
      <c r="U867" s="1">
        <f t="shared" si="106"/>
        <v>0</v>
      </c>
      <c r="V867" s="1">
        <f t="shared" si="107"/>
        <v>0</v>
      </c>
      <c r="W867" s="1">
        <f t="shared" si="108"/>
        <v>0</v>
      </c>
      <c r="X867" s="1">
        <f t="shared" si="109"/>
        <v>0</v>
      </c>
      <c r="Y867" s="1">
        <f t="shared" si="110"/>
        <v>0</v>
      </c>
      <c r="Z867" s="1">
        <f t="shared" si="111"/>
        <v>0</v>
      </c>
      <c r="AA867" s="1">
        <f t="shared" si="112"/>
        <v>0</v>
      </c>
    </row>
    <row r="868" spans="2:27" x14ac:dyDescent="0.3">
      <c r="B868" s="12"/>
      <c r="I868" s="14"/>
      <c r="J868" s="13"/>
      <c r="T868" s="1">
        <f t="shared" si="105"/>
        <v>0</v>
      </c>
      <c r="U868" s="1">
        <f t="shared" si="106"/>
        <v>0</v>
      </c>
      <c r="V868" s="1">
        <f t="shared" si="107"/>
        <v>0</v>
      </c>
      <c r="W868" s="1">
        <f t="shared" si="108"/>
        <v>0</v>
      </c>
      <c r="X868" s="1">
        <f t="shared" si="109"/>
        <v>0</v>
      </c>
      <c r="Y868" s="1">
        <f t="shared" si="110"/>
        <v>0</v>
      </c>
      <c r="Z868" s="1">
        <f t="shared" si="111"/>
        <v>0</v>
      </c>
      <c r="AA868" s="1">
        <f t="shared" si="112"/>
        <v>0</v>
      </c>
    </row>
    <row r="869" spans="2:27" x14ac:dyDescent="0.3">
      <c r="B869" s="12"/>
      <c r="I869" s="14"/>
      <c r="J869" s="13"/>
      <c r="T869" s="1">
        <f t="shared" si="105"/>
        <v>0</v>
      </c>
      <c r="U869" s="1">
        <f t="shared" si="106"/>
        <v>0</v>
      </c>
      <c r="V869" s="1">
        <f t="shared" si="107"/>
        <v>0</v>
      </c>
      <c r="W869" s="1">
        <f t="shared" si="108"/>
        <v>0</v>
      </c>
      <c r="X869" s="1">
        <f t="shared" si="109"/>
        <v>0</v>
      </c>
      <c r="Y869" s="1">
        <f t="shared" si="110"/>
        <v>0</v>
      </c>
      <c r="Z869" s="1">
        <f t="shared" si="111"/>
        <v>0</v>
      </c>
      <c r="AA869" s="1">
        <f t="shared" si="112"/>
        <v>0</v>
      </c>
    </row>
    <row r="870" spans="2:27" x14ac:dyDescent="0.3">
      <c r="B870" s="12"/>
      <c r="I870" s="14"/>
      <c r="J870" s="13"/>
      <c r="T870" s="1">
        <f t="shared" si="105"/>
        <v>0</v>
      </c>
      <c r="U870" s="1">
        <f t="shared" si="106"/>
        <v>0</v>
      </c>
      <c r="V870" s="1">
        <f t="shared" si="107"/>
        <v>0</v>
      </c>
      <c r="W870" s="1">
        <f t="shared" si="108"/>
        <v>0</v>
      </c>
      <c r="X870" s="1">
        <f t="shared" si="109"/>
        <v>0</v>
      </c>
      <c r="Y870" s="1">
        <f t="shared" si="110"/>
        <v>0</v>
      </c>
      <c r="Z870" s="1">
        <f t="shared" si="111"/>
        <v>0</v>
      </c>
      <c r="AA870" s="1">
        <f t="shared" si="112"/>
        <v>0</v>
      </c>
    </row>
    <row r="871" spans="2:27" x14ac:dyDescent="0.3">
      <c r="B871" s="12"/>
      <c r="I871" s="14"/>
      <c r="J871" s="13"/>
      <c r="T871" s="1">
        <f t="shared" si="105"/>
        <v>0</v>
      </c>
      <c r="U871" s="1">
        <f t="shared" si="106"/>
        <v>0</v>
      </c>
      <c r="V871" s="1">
        <f t="shared" si="107"/>
        <v>0</v>
      </c>
      <c r="W871" s="1">
        <f t="shared" si="108"/>
        <v>0</v>
      </c>
      <c r="X871" s="1">
        <f t="shared" si="109"/>
        <v>0</v>
      </c>
      <c r="Y871" s="1">
        <f t="shared" si="110"/>
        <v>0</v>
      </c>
      <c r="Z871" s="1">
        <f t="shared" si="111"/>
        <v>0</v>
      </c>
      <c r="AA871" s="1">
        <f t="shared" si="112"/>
        <v>0</v>
      </c>
    </row>
    <row r="872" spans="2:27" x14ac:dyDescent="0.3">
      <c r="B872" s="12"/>
      <c r="I872" s="14"/>
      <c r="J872" s="13"/>
      <c r="T872" s="1">
        <f t="shared" si="105"/>
        <v>0</v>
      </c>
      <c r="U872" s="1">
        <f t="shared" si="106"/>
        <v>0</v>
      </c>
      <c r="V872" s="1">
        <f t="shared" si="107"/>
        <v>0</v>
      </c>
      <c r="W872" s="1">
        <f t="shared" si="108"/>
        <v>0</v>
      </c>
      <c r="X872" s="1">
        <f t="shared" si="109"/>
        <v>0</v>
      </c>
      <c r="Y872" s="1">
        <f t="shared" si="110"/>
        <v>0</v>
      </c>
      <c r="Z872" s="1">
        <f t="shared" si="111"/>
        <v>0</v>
      </c>
      <c r="AA872" s="1">
        <f t="shared" si="112"/>
        <v>0</v>
      </c>
    </row>
    <row r="873" spans="2:27" x14ac:dyDescent="0.3">
      <c r="B873" s="12"/>
      <c r="I873" s="14"/>
      <c r="J873" s="13"/>
      <c r="T873" s="1">
        <f t="shared" si="105"/>
        <v>0</v>
      </c>
      <c r="U873" s="1">
        <f t="shared" si="106"/>
        <v>0</v>
      </c>
      <c r="V873" s="1">
        <f t="shared" si="107"/>
        <v>0</v>
      </c>
      <c r="W873" s="1">
        <f t="shared" si="108"/>
        <v>0</v>
      </c>
      <c r="X873" s="1">
        <f t="shared" si="109"/>
        <v>0</v>
      </c>
      <c r="Y873" s="1">
        <f t="shared" si="110"/>
        <v>0</v>
      </c>
      <c r="Z873" s="1">
        <f t="shared" si="111"/>
        <v>0</v>
      </c>
      <c r="AA873" s="1">
        <f t="shared" si="112"/>
        <v>0</v>
      </c>
    </row>
    <row r="874" spans="2:27" x14ac:dyDescent="0.3">
      <c r="B874" s="12"/>
      <c r="I874" s="14"/>
      <c r="J874" s="13"/>
      <c r="T874" s="1">
        <f t="shared" si="105"/>
        <v>0</v>
      </c>
      <c r="U874" s="1">
        <f t="shared" si="106"/>
        <v>0</v>
      </c>
      <c r="V874" s="1">
        <f t="shared" si="107"/>
        <v>0</v>
      </c>
      <c r="W874" s="1">
        <f t="shared" si="108"/>
        <v>0</v>
      </c>
      <c r="X874" s="1">
        <f t="shared" si="109"/>
        <v>0</v>
      </c>
      <c r="Y874" s="1">
        <f t="shared" si="110"/>
        <v>0</v>
      </c>
      <c r="Z874" s="1">
        <f t="shared" si="111"/>
        <v>0</v>
      </c>
      <c r="AA874" s="1">
        <f t="shared" si="112"/>
        <v>0</v>
      </c>
    </row>
    <row r="875" spans="2:27" x14ac:dyDescent="0.3">
      <c r="B875" s="12"/>
      <c r="I875" s="14"/>
      <c r="J875" s="13"/>
      <c r="T875" s="1">
        <f t="shared" si="105"/>
        <v>0</v>
      </c>
      <c r="U875" s="1">
        <f t="shared" si="106"/>
        <v>0</v>
      </c>
      <c r="V875" s="1">
        <f t="shared" si="107"/>
        <v>0</v>
      </c>
      <c r="W875" s="1">
        <f t="shared" si="108"/>
        <v>0</v>
      </c>
      <c r="X875" s="1">
        <f t="shared" si="109"/>
        <v>0</v>
      </c>
      <c r="Y875" s="1">
        <f t="shared" si="110"/>
        <v>0</v>
      </c>
      <c r="Z875" s="1">
        <f t="shared" si="111"/>
        <v>0</v>
      </c>
      <c r="AA875" s="1">
        <f t="shared" si="112"/>
        <v>0</v>
      </c>
    </row>
    <row r="876" spans="2:27" x14ac:dyDescent="0.3">
      <c r="B876" s="12"/>
      <c r="I876" s="14"/>
      <c r="J876" s="13"/>
      <c r="T876" s="1">
        <f t="shared" si="105"/>
        <v>0</v>
      </c>
      <c r="U876" s="1">
        <f t="shared" si="106"/>
        <v>0</v>
      </c>
      <c r="V876" s="1">
        <f t="shared" si="107"/>
        <v>0</v>
      </c>
      <c r="W876" s="1">
        <f t="shared" si="108"/>
        <v>0</v>
      </c>
      <c r="X876" s="1">
        <f t="shared" si="109"/>
        <v>0</v>
      </c>
      <c r="Y876" s="1">
        <f t="shared" si="110"/>
        <v>0</v>
      </c>
      <c r="Z876" s="1">
        <f t="shared" si="111"/>
        <v>0</v>
      </c>
      <c r="AA876" s="1">
        <f t="shared" si="112"/>
        <v>0</v>
      </c>
    </row>
    <row r="877" spans="2:27" x14ac:dyDescent="0.3">
      <c r="B877" s="12"/>
      <c r="I877" s="14"/>
      <c r="J877" s="13"/>
      <c r="T877" s="1">
        <f t="shared" si="105"/>
        <v>0</v>
      </c>
      <c r="U877" s="1">
        <f t="shared" si="106"/>
        <v>0</v>
      </c>
      <c r="V877" s="1">
        <f t="shared" si="107"/>
        <v>0</v>
      </c>
      <c r="W877" s="1">
        <f t="shared" si="108"/>
        <v>0</v>
      </c>
      <c r="X877" s="1">
        <f t="shared" si="109"/>
        <v>0</v>
      </c>
      <c r="Y877" s="1">
        <f t="shared" si="110"/>
        <v>0</v>
      </c>
      <c r="Z877" s="1">
        <f t="shared" si="111"/>
        <v>0</v>
      </c>
      <c r="AA877" s="1">
        <f t="shared" si="112"/>
        <v>0</v>
      </c>
    </row>
    <row r="878" spans="2:27" x14ac:dyDescent="0.3">
      <c r="B878" s="12"/>
      <c r="I878" s="14"/>
      <c r="J878" s="13"/>
      <c r="T878" s="1">
        <f t="shared" si="105"/>
        <v>0</v>
      </c>
      <c r="U878" s="1">
        <f t="shared" si="106"/>
        <v>0</v>
      </c>
      <c r="V878" s="1">
        <f t="shared" si="107"/>
        <v>0</v>
      </c>
      <c r="W878" s="1">
        <f t="shared" si="108"/>
        <v>0</v>
      </c>
      <c r="X878" s="1">
        <f t="shared" si="109"/>
        <v>0</v>
      </c>
      <c r="Y878" s="1">
        <f t="shared" si="110"/>
        <v>0</v>
      </c>
      <c r="Z878" s="1">
        <f t="shared" si="111"/>
        <v>0</v>
      </c>
      <c r="AA878" s="1">
        <f t="shared" si="112"/>
        <v>0</v>
      </c>
    </row>
    <row r="879" spans="2:27" x14ac:dyDescent="0.3">
      <c r="B879" s="12"/>
      <c r="I879" s="14"/>
      <c r="J879" s="13"/>
      <c r="T879" s="1">
        <f t="shared" si="105"/>
        <v>0</v>
      </c>
      <c r="U879" s="1">
        <f t="shared" si="106"/>
        <v>0</v>
      </c>
      <c r="V879" s="1">
        <f t="shared" si="107"/>
        <v>0</v>
      </c>
      <c r="W879" s="1">
        <f t="shared" si="108"/>
        <v>0</v>
      </c>
      <c r="X879" s="1">
        <f t="shared" si="109"/>
        <v>0</v>
      </c>
      <c r="Y879" s="1">
        <f t="shared" si="110"/>
        <v>0</v>
      </c>
      <c r="Z879" s="1">
        <f t="shared" si="111"/>
        <v>0</v>
      </c>
      <c r="AA879" s="1">
        <f t="shared" si="112"/>
        <v>0</v>
      </c>
    </row>
    <row r="880" spans="2:27" x14ac:dyDescent="0.3">
      <c r="B880" s="12"/>
      <c r="I880" s="14"/>
      <c r="J880" s="13"/>
      <c r="T880" s="1">
        <f t="shared" si="105"/>
        <v>0</v>
      </c>
      <c r="U880" s="1">
        <f t="shared" si="106"/>
        <v>0</v>
      </c>
      <c r="V880" s="1">
        <f t="shared" si="107"/>
        <v>0</v>
      </c>
      <c r="W880" s="1">
        <f t="shared" si="108"/>
        <v>0</v>
      </c>
      <c r="X880" s="1">
        <f t="shared" si="109"/>
        <v>0</v>
      </c>
      <c r="Y880" s="1">
        <f t="shared" si="110"/>
        <v>0</v>
      </c>
      <c r="Z880" s="1">
        <f t="shared" si="111"/>
        <v>0</v>
      </c>
      <c r="AA880" s="1">
        <f t="shared" si="112"/>
        <v>0</v>
      </c>
    </row>
    <row r="881" spans="2:27" x14ac:dyDescent="0.3">
      <c r="B881" s="12"/>
      <c r="I881" s="14"/>
      <c r="J881" s="13"/>
      <c r="T881" s="1">
        <f t="shared" si="105"/>
        <v>0</v>
      </c>
      <c r="U881" s="1">
        <f t="shared" si="106"/>
        <v>0</v>
      </c>
      <c r="V881" s="1">
        <f t="shared" si="107"/>
        <v>0</v>
      </c>
      <c r="W881" s="1">
        <f t="shared" si="108"/>
        <v>0</v>
      </c>
      <c r="X881" s="1">
        <f t="shared" si="109"/>
        <v>0</v>
      </c>
      <c r="Y881" s="1">
        <f t="shared" si="110"/>
        <v>0</v>
      </c>
      <c r="Z881" s="1">
        <f t="shared" si="111"/>
        <v>0</v>
      </c>
      <c r="AA881" s="1">
        <f t="shared" si="112"/>
        <v>0</v>
      </c>
    </row>
    <row r="882" spans="2:27" x14ac:dyDescent="0.3">
      <c r="B882" s="12"/>
      <c r="I882" s="14"/>
      <c r="J882" s="13"/>
      <c r="T882" s="1">
        <f t="shared" si="105"/>
        <v>0</v>
      </c>
      <c r="U882" s="1">
        <f t="shared" si="106"/>
        <v>0</v>
      </c>
      <c r="V882" s="1">
        <f t="shared" si="107"/>
        <v>0</v>
      </c>
      <c r="W882" s="1">
        <f t="shared" si="108"/>
        <v>0</v>
      </c>
      <c r="X882" s="1">
        <f t="shared" si="109"/>
        <v>0</v>
      </c>
      <c r="Y882" s="1">
        <f t="shared" si="110"/>
        <v>0</v>
      </c>
      <c r="Z882" s="1">
        <f t="shared" si="111"/>
        <v>0</v>
      </c>
      <c r="AA882" s="1">
        <f t="shared" si="112"/>
        <v>0</v>
      </c>
    </row>
    <row r="883" spans="2:27" x14ac:dyDescent="0.3">
      <c r="B883" s="12"/>
      <c r="I883" s="14"/>
      <c r="J883" s="13"/>
      <c r="T883" s="1">
        <f t="shared" si="105"/>
        <v>0</v>
      </c>
      <c r="U883" s="1">
        <f t="shared" si="106"/>
        <v>0</v>
      </c>
      <c r="V883" s="1">
        <f t="shared" si="107"/>
        <v>0</v>
      </c>
      <c r="W883" s="1">
        <f t="shared" si="108"/>
        <v>0</v>
      </c>
      <c r="X883" s="1">
        <f t="shared" si="109"/>
        <v>0</v>
      </c>
      <c r="Y883" s="1">
        <f t="shared" si="110"/>
        <v>0</v>
      </c>
      <c r="Z883" s="1">
        <f t="shared" si="111"/>
        <v>0</v>
      </c>
      <c r="AA883" s="1">
        <f t="shared" si="112"/>
        <v>0</v>
      </c>
    </row>
    <row r="884" spans="2:27" x14ac:dyDescent="0.3">
      <c r="B884" s="12"/>
      <c r="I884" s="14"/>
      <c r="J884" s="13"/>
      <c r="T884" s="1">
        <f t="shared" si="105"/>
        <v>0</v>
      </c>
      <c r="U884" s="1">
        <f t="shared" si="106"/>
        <v>0</v>
      </c>
      <c r="V884" s="1">
        <f t="shared" si="107"/>
        <v>0</v>
      </c>
      <c r="W884" s="1">
        <f t="shared" si="108"/>
        <v>0</v>
      </c>
      <c r="X884" s="1">
        <f t="shared" si="109"/>
        <v>0</v>
      </c>
      <c r="Y884" s="1">
        <f t="shared" si="110"/>
        <v>0</v>
      </c>
      <c r="Z884" s="1">
        <f t="shared" si="111"/>
        <v>0</v>
      </c>
      <c r="AA884" s="1">
        <f t="shared" si="112"/>
        <v>0</v>
      </c>
    </row>
    <row r="885" spans="2:27" x14ac:dyDescent="0.3">
      <c r="B885" s="12"/>
      <c r="I885" s="14"/>
      <c r="J885" s="13"/>
      <c r="T885" s="1">
        <f t="shared" si="105"/>
        <v>0</v>
      </c>
      <c r="U885" s="1">
        <f t="shared" si="106"/>
        <v>0</v>
      </c>
      <c r="V885" s="1">
        <f t="shared" si="107"/>
        <v>0</v>
      </c>
      <c r="W885" s="1">
        <f t="shared" si="108"/>
        <v>0</v>
      </c>
      <c r="X885" s="1">
        <f t="shared" si="109"/>
        <v>0</v>
      </c>
      <c r="Y885" s="1">
        <f t="shared" si="110"/>
        <v>0</v>
      </c>
      <c r="Z885" s="1">
        <f t="shared" si="111"/>
        <v>0</v>
      </c>
      <c r="AA885" s="1">
        <f t="shared" si="112"/>
        <v>0</v>
      </c>
    </row>
    <row r="886" spans="2:27" x14ac:dyDescent="0.3">
      <c r="B886" s="12"/>
      <c r="I886" s="14"/>
      <c r="J886" s="13"/>
      <c r="T886" s="1">
        <f t="shared" si="105"/>
        <v>0</v>
      </c>
      <c r="U886" s="1">
        <f t="shared" si="106"/>
        <v>0</v>
      </c>
      <c r="V886" s="1">
        <f t="shared" si="107"/>
        <v>0</v>
      </c>
      <c r="W886" s="1">
        <f t="shared" si="108"/>
        <v>0</v>
      </c>
      <c r="X886" s="1">
        <f t="shared" si="109"/>
        <v>0</v>
      </c>
      <c r="Y886" s="1">
        <f t="shared" si="110"/>
        <v>0</v>
      </c>
      <c r="Z886" s="1">
        <f t="shared" si="111"/>
        <v>0</v>
      </c>
      <c r="AA886" s="1">
        <f t="shared" si="112"/>
        <v>0</v>
      </c>
    </row>
    <row r="887" spans="2:27" x14ac:dyDescent="0.3">
      <c r="B887" s="12"/>
      <c r="I887" s="14"/>
      <c r="J887" s="13"/>
      <c r="T887" s="1">
        <f t="shared" si="105"/>
        <v>0</v>
      </c>
      <c r="U887" s="1">
        <f t="shared" si="106"/>
        <v>0</v>
      </c>
      <c r="V887" s="1">
        <f t="shared" si="107"/>
        <v>0</v>
      </c>
      <c r="W887" s="1">
        <f t="shared" si="108"/>
        <v>0</v>
      </c>
      <c r="X887" s="1">
        <f t="shared" si="109"/>
        <v>0</v>
      </c>
      <c r="Y887" s="1">
        <f t="shared" si="110"/>
        <v>0</v>
      </c>
      <c r="Z887" s="1">
        <f t="shared" si="111"/>
        <v>0</v>
      </c>
      <c r="AA887" s="1">
        <f t="shared" si="112"/>
        <v>0</v>
      </c>
    </row>
    <row r="888" spans="2:27" x14ac:dyDescent="0.3">
      <c r="B888" s="12"/>
      <c r="I888" s="14"/>
      <c r="J888" s="13"/>
      <c r="T888" s="1">
        <f t="shared" si="105"/>
        <v>0</v>
      </c>
      <c r="U888" s="1">
        <f t="shared" si="106"/>
        <v>0</v>
      </c>
      <c r="V888" s="1">
        <f t="shared" si="107"/>
        <v>0</v>
      </c>
      <c r="W888" s="1">
        <f t="shared" si="108"/>
        <v>0</v>
      </c>
      <c r="X888" s="1">
        <f t="shared" si="109"/>
        <v>0</v>
      </c>
      <c r="Y888" s="1">
        <f t="shared" si="110"/>
        <v>0</v>
      </c>
      <c r="Z888" s="1">
        <f t="shared" si="111"/>
        <v>0</v>
      </c>
      <c r="AA888" s="1">
        <f t="shared" si="112"/>
        <v>0</v>
      </c>
    </row>
    <row r="889" spans="2:27" x14ac:dyDescent="0.3">
      <c r="B889" s="12"/>
      <c r="I889" s="14"/>
      <c r="J889" s="13"/>
      <c r="T889" s="1">
        <f t="shared" si="105"/>
        <v>0</v>
      </c>
      <c r="U889" s="1">
        <f t="shared" si="106"/>
        <v>0</v>
      </c>
      <c r="V889" s="1">
        <f t="shared" si="107"/>
        <v>0</v>
      </c>
      <c r="W889" s="1">
        <f t="shared" si="108"/>
        <v>0</v>
      </c>
      <c r="X889" s="1">
        <f t="shared" si="109"/>
        <v>0</v>
      </c>
      <c r="Y889" s="1">
        <f t="shared" si="110"/>
        <v>0</v>
      </c>
      <c r="Z889" s="1">
        <f t="shared" si="111"/>
        <v>0</v>
      </c>
      <c r="AA889" s="1">
        <f t="shared" si="112"/>
        <v>0</v>
      </c>
    </row>
    <row r="890" spans="2:27" x14ac:dyDescent="0.3">
      <c r="B890" s="12"/>
      <c r="I890" s="14"/>
      <c r="J890" s="13"/>
      <c r="T890" s="1">
        <f t="shared" si="105"/>
        <v>0</v>
      </c>
      <c r="U890" s="1">
        <f t="shared" si="106"/>
        <v>0</v>
      </c>
      <c r="V890" s="1">
        <f t="shared" si="107"/>
        <v>0</v>
      </c>
      <c r="W890" s="1">
        <f t="shared" si="108"/>
        <v>0</v>
      </c>
      <c r="X890" s="1">
        <f t="shared" si="109"/>
        <v>0</v>
      </c>
      <c r="Y890" s="1">
        <f t="shared" si="110"/>
        <v>0</v>
      </c>
      <c r="Z890" s="1">
        <f t="shared" si="111"/>
        <v>0</v>
      </c>
      <c r="AA890" s="1">
        <f t="shared" si="112"/>
        <v>0</v>
      </c>
    </row>
    <row r="891" spans="2:27" x14ac:dyDescent="0.3">
      <c r="B891" s="12"/>
      <c r="I891" s="14"/>
      <c r="J891" s="13"/>
      <c r="T891" s="1">
        <f t="shared" si="105"/>
        <v>0</v>
      </c>
      <c r="U891" s="1">
        <f t="shared" si="106"/>
        <v>0</v>
      </c>
      <c r="V891" s="1">
        <f t="shared" si="107"/>
        <v>0</v>
      </c>
      <c r="W891" s="1">
        <f t="shared" si="108"/>
        <v>0</v>
      </c>
      <c r="X891" s="1">
        <f t="shared" si="109"/>
        <v>0</v>
      </c>
      <c r="Y891" s="1">
        <f t="shared" si="110"/>
        <v>0</v>
      </c>
      <c r="Z891" s="1">
        <f t="shared" si="111"/>
        <v>0</v>
      </c>
      <c r="AA891" s="1">
        <f t="shared" si="112"/>
        <v>0</v>
      </c>
    </row>
    <row r="892" spans="2:27" x14ac:dyDescent="0.3">
      <c r="B892" s="12"/>
      <c r="I892" s="14"/>
      <c r="J892" s="13"/>
      <c r="T892" s="1">
        <f t="shared" si="105"/>
        <v>0</v>
      </c>
      <c r="U892" s="1">
        <f t="shared" si="106"/>
        <v>0</v>
      </c>
      <c r="V892" s="1">
        <f t="shared" si="107"/>
        <v>0</v>
      </c>
      <c r="W892" s="1">
        <f t="shared" si="108"/>
        <v>0</v>
      </c>
      <c r="X892" s="1">
        <f t="shared" si="109"/>
        <v>0</v>
      </c>
      <c r="Y892" s="1">
        <f t="shared" si="110"/>
        <v>0</v>
      </c>
      <c r="Z892" s="1">
        <f t="shared" si="111"/>
        <v>0</v>
      </c>
      <c r="AA892" s="1">
        <f t="shared" si="112"/>
        <v>0</v>
      </c>
    </row>
    <row r="893" spans="2:27" x14ac:dyDescent="0.3">
      <c r="B893" s="12"/>
      <c r="I893" s="14"/>
      <c r="J893" s="13"/>
      <c r="T893" s="1">
        <f t="shared" si="105"/>
        <v>0</v>
      </c>
      <c r="U893" s="1">
        <f t="shared" si="106"/>
        <v>0</v>
      </c>
      <c r="V893" s="1">
        <f t="shared" si="107"/>
        <v>0</v>
      </c>
      <c r="W893" s="1">
        <f t="shared" si="108"/>
        <v>0</v>
      </c>
      <c r="X893" s="1">
        <f t="shared" si="109"/>
        <v>0</v>
      </c>
      <c r="Y893" s="1">
        <f t="shared" si="110"/>
        <v>0</v>
      </c>
      <c r="Z893" s="1">
        <f t="shared" si="111"/>
        <v>0</v>
      </c>
      <c r="AA893" s="1">
        <f t="shared" si="112"/>
        <v>0</v>
      </c>
    </row>
    <row r="894" spans="2:27" x14ac:dyDescent="0.3">
      <c r="B894" s="12"/>
      <c r="I894" s="14"/>
      <c r="J894" s="13"/>
      <c r="T894" s="1">
        <f t="shared" si="105"/>
        <v>0</v>
      </c>
      <c r="U894" s="1">
        <f t="shared" si="106"/>
        <v>0</v>
      </c>
      <c r="V894" s="1">
        <f t="shared" si="107"/>
        <v>0</v>
      </c>
      <c r="W894" s="1">
        <f t="shared" si="108"/>
        <v>0</v>
      </c>
      <c r="X894" s="1">
        <f t="shared" si="109"/>
        <v>0</v>
      </c>
      <c r="Y894" s="1">
        <f t="shared" si="110"/>
        <v>0</v>
      </c>
      <c r="Z894" s="1">
        <f t="shared" si="111"/>
        <v>0</v>
      </c>
      <c r="AA894" s="1">
        <f t="shared" si="112"/>
        <v>0</v>
      </c>
    </row>
    <row r="895" spans="2:27" x14ac:dyDescent="0.3">
      <c r="B895" s="12"/>
      <c r="I895" s="14"/>
      <c r="J895" s="13"/>
      <c r="T895" s="1">
        <f t="shared" si="105"/>
        <v>0</v>
      </c>
      <c r="U895" s="1">
        <f t="shared" si="106"/>
        <v>0</v>
      </c>
      <c r="V895" s="1">
        <f t="shared" si="107"/>
        <v>0</v>
      </c>
      <c r="W895" s="1">
        <f t="shared" si="108"/>
        <v>0</v>
      </c>
      <c r="X895" s="1">
        <f t="shared" si="109"/>
        <v>0</v>
      </c>
      <c r="Y895" s="1">
        <f t="shared" si="110"/>
        <v>0</v>
      </c>
      <c r="Z895" s="1">
        <f t="shared" si="111"/>
        <v>0</v>
      </c>
      <c r="AA895" s="1">
        <f t="shared" si="112"/>
        <v>0</v>
      </c>
    </row>
    <row r="896" spans="2:27" x14ac:dyDescent="0.3">
      <c r="B896" s="12"/>
      <c r="I896" s="14"/>
      <c r="J896" s="13"/>
      <c r="T896" s="1">
        <f t="shared" si="105"/>
        <v>0</v>
      </c>
      <c r="U896" s="1">
        <f t="shared" si="106"/>
        <v>0</v>
      </c>
      <c r="V896" s="1">
        <f t="shared" si="107"/>
        <v>0</v>
      </c>
      <c r="W896" s="1">
        <f t="shared" si="108"/>
        <v>0</v>
      </c>
      <c r="X896" s="1">
        <f t="shared" si="109"/>
        <v>0</v>
      </c>
      <c r="Y896" s="1">
        <f t="shared" si="110"/>
        <v>0</v>
      </c>
      <c r="Z896" s="1">
        <f t="shared" si="111"/>
        <v>0</v>
      </c>
      <c r="AA896" s="1">
        <f t="shared" si="112"/>
        <v>0</v>
      </c>
    </row>
    <row r="897" spans="2:27" x14ac:dyDescent="0.3">
      <c r="B897" s="12"/>
      <c r="I897" s="14"/>
      <c r="J897" s="13"/>
      <c r="T897" s="1">
        <f t="shared" si="105"/>
        <v>0</v>
      </c>
      <c r="U897" s="1">
        <f t="shared" si="106"/>
        <v>0</v>
      </c>
      <c r="V897" s="1">
        <f t="shared" si="107"/>
        <v>0</v>
      </c>
      <c r="W897" s="1">
        <f t="shared" si="108"/>
        <v>0</v>
      </c>
      <c r="X897" s="1">
        <f t="shared" si="109"/>
        <v>0</v>
      </c>
      <c r="Y897" s="1">
        <f t="shared" si="110"/>
        <v>0</v>
      </c>
      <c r="Z897" s="1">
        <f t="shared" si="111"/>
        <v>0</v>
      </c>
      <c r="AA897" s="1">
        <f t="shared" si="112"/>
        <v>0</v>
      </c>
    </row>
    <row r="898" spans="2:27" x14ac:dyDescent="0.3">
      <c r="B898" s="12"/>
      <c r="I898" s="14"/>
      <c r="J898" s="13"/>
      <c r="T898" s="1">
        <f t="shared" si="105"/>
        <v>0</v>
      </c>
      <c r="U898" s="1">
        <f t="shared" si="106"/>
        <v>0</v>
      </c>
      <c r="V898" s="1">
        <f t="shared" si="107"/>
        <v>0</v>
      </c>
      <c r="W898" s="1">
        <f t="shared" si="108"/>
        <v>0</v>
      </c>
      <c r="X898" s="1">
        <f t="shared" si="109"/>
        <v>0</v>
      </c>
      <c r="Y898" s="1">
        <f t="shared" si="110"/>
        <v>0</v>
      </c>
      <c r="Z898" s="1">
        <f t="shared" si="111"/>
        <v>0</v>
      </c>
      <c r="AA898" s="1">
        <f t="shared" si="112"/>
        <v>0</v>
      </c>
    </row>
    <row r="899" spans="2:27" x14ac:dyDescent="0.3">
      <c r="B899" s="12"/>
      <c r="I899" s="14"/>
      <c r="J899" s="13"/>
      <c r="T899" s="1">
        <f t="shared" si="105"/>
        <v>0</v>
      </c>
      <c r="U899" s="1">
        <f t="shared" si="106"/>
        <v>0</v>
      </c>
      <c r="V899" s="1">
        <f t="shared" si="107"/>
        <v>0</v>
      </c>
      <c r="W899" s="1">
        <f t="shared" si="108"/>
        <v>0</v>
      </c>
      <c r="X899" s="1">
        <f t="shared" si="109"/>
        <v>0</v>
      </c>
      <c r="Y899" s="1">
        <f t="shared" si="110"/>
        <v>0</v>
      </c>
      <c r="Z899" s="1">
        <f t="shared" si="111"/>
        <v>0</v>
      </c>
      <c r="AA899" s="1">
        <f t="shared" si="112"/>
        <v>0</v>
      </c>
    </row>
    <row r="900" spans="2:27" x14ac:dyDescent="0.3">
      <c r="B900" s="12"/>
      <c r="I900" s="14"/>
      <c r="J900" s="13"/>
      <c r="T900" s="1">
        <f t="shared" si="105"/>
        <v>0</v>
      </c>
      <c r="U900" s="1">
        <f t="shared" si="106"/>
        <v>0</v>
      </c>
      <c r="V900" s="1">
        <f t="shared" si="107"/>
        <v>0</v>
      </c>
      <c r="W900" s="1">
        <f t="shared" si="108"/>
        <v>0</v>
      </c>
      <c r="X900" s="1">
        <f t="shared" si="109"/>
        <v>0</v>
      </c>
      <c r="Y900" s="1">
        <f t="shared" si="110"/>
        <v>0</v>
      </c>
      <c r="Z900" s="1">
        <f t="shared" si="111"/>
        <v>0</v>
      </c>
      <c r="AA900" s="1">
        <f t="shared" si="112"/>
        <v>0</v>
      </c>
    </row>
    <row r="901" spans="2:27" x14ac:dyDescent="0.3">
      <c r="B901" s="12"/>
      <c r="I901" s="14"/>
      <c r="J901" s="13"/>
      <c r="T901" s="1">
        <f t="shared" si="105"/>
        <v>0</v>
      </c>
      <c r="U901" s="1">
        <f t="shared" si="106"/>
        <v>0</v>
      </c>
      <c r="V901" s="1">
        <f t="shared" si="107"/>
        <v>0</v>
      </c>
      <c r="W901" s="1">
        <f t="shared" si="108"/>
        <v>0</v>
      </c>
      <c r="X901" s="1">
        <f t="shared" si="109"/>
        <v>0</v>
      </c>
      <c r="Y901" s="1">
        <f t="shared" si="110"/>
        <v>0</v>
      </c>
      <c r="Z901" s="1">
        <f t="shared" si="111"/>
        <v>0</v>
      </c>
      <c r="AA901" s="1">
        <f t="shared" si="112"/>
        <v>0</v>
      </c>
    </row>
    <row r="902" spans="2:27" x14ac:dyDescent="0.3">
      <c r="B902" s="12"/>
      <c r="I902" s="14"/>
      <c r="J902" s="13"/>
      <c r="T902" s="1">
        <f t="shared" si="105"/>
        <v>0</v>
      </c>
      <c r="U902" s="1">
        <f t="shared" si="106"/>
        <v>0</v>
      </c>
      <c r="V902" s="1">
        <f t="shared" si="107"/>
        <v>0</v>
      </c>
      <c r="W902" s="1">
        <f t="shared" si="108"/>
        <v>0</v>
      </c>
      <c r="X902" s="1">
        <f t="shared" si="109"/>
        <v>0</v>
      </c>
      <c r="Y902" s="1">
        <f t="shared" si="110"/>
        <v>0</v>
      </c>
      <c r="Z902" s="1">
        <f t="shared" si="111"/>
        <v>0</v>
      </c>
      <c r="AA902" s="1">
        <f t="shared" si="112"/>
        <v>0</v>
      </c>
    </row>
    <row r="903" spans="2:27" x14ac:dyDescent="0.3">
      <c r="B903" s="12"/>
      <c r="I903" s="14"/>
      <c r="J903" s="13"/>
      <c r="T903" s="1">
        <f t="shared" ref="T903:T966" si="113">IF(AND(G903="-"),0,G903*F903)</f>
        <v>0</v>
      </c>
      <c r="U903" s="1">
        <f t="shared" ref="U903:U966" si="114">IF(AND(O903="-"),0,O903*N903)</f>
        <v>0</v>
      </c>
      <c r="V903" s="1">
        <f t="shared" ref="V903:V966" si="115">IFERROR(C903*H903,0)</f>
        <v>0</v>
      </c>
      <c r="W903" s="1">
        <f t="shared" ref="W903:W966" si="116">IFERROR(K903*P903,0)</f>
        <v>0</v>
      </c>
      <c r="X903" s="1">
        <f t="shared" ref="X903:X966" si="117">IFERROR(G903*1,0)</f>
        <v>0</v>
      </c>
      <c r="Y903" s="1">
        <f t="shared" ref="Y903:Y966" si="118">IFERROR(O903*1,0)</f>
        <v>0</v>
      </c>
      <c r="Z903" s="1">
        <f t="shared" ref="Z903:Z966" si="119">IFERROR(H903*1,0)</f>
        <v>0</v>
      </c>
      <c r="AA903" s="1">
        <f t="shared" ref="AA903:AA966" si="120">IFERROR(P903*1,0)</f>
        <v>0</v>
      </c>
    </row>
    <row r="904" spans="2:27" x14ac:dyDescent="0.3">
      <c r="B904" s="12"/>
      <c r="I904" s="14"/>
      <c r="J904" s="13"/>
      <c r="T904" s="1">
        <f t="shared" si="113"/>
        <v>0</v>
      </c>
      <c r="U904" s="1">
        <f t="shared" si="114"/>
        <v>0</v>
      </c>
      <c r="V904" s="1">
        <f t="shared" si="115"/>
        <v>0</v>
      </c>
      <c r="W904" s="1">
        <f t="shared" si="116"/>
        <v>0</v>
      </c>
      <c r="X904" s="1">
        <f t="shared" si="117"/>
        <v>0</v>
      </c>
      <c r="Y904" s="1">
        <f t="shared" si="118"/>
        <v>0</v>
      </c>
      <c r="Z904" s="1">
        <f t="shared" si="119"/>
        <v>0</v>
      </c>
      <c r="AA904" s="1">
        <f t="shared" si="120"/>
        <v>0</v>
      </c>
    </row>
    <row r="905" spans="2:27" x14ac:dyDescent="0.3">
      <c r="B905" s="12"/>
      <c r="I905" s="14"/>
      <c r="J905" s="13"/>
      <c r="T905" s="1">
        <f t="shared" si="113"/>
        <v>0</v>
      </c>
      <c r="U905" s="1">
        <f t="shared" si="114"/>
        <v>0</v>
      </c>
      <c r="V905" s="1">
        <f t="shared" si="115"/>
        <v>0</v>
      </c>
      <c r="W905" s="1">
        <f t="shared" si="116"/>
        <v>0</v>
      </c>
      <c r="X905" s="1">
        <f t="shared" si="117"/>
        <v>0</v>
      </c>
      <c r="Y905" s="1">
        <f t="shared" si="118"/>
        <v>0</v>
      </c>
      <c r="Z905" s="1">
        <f t="shared" si="119"/>
        <v>0</v>
      </c>
      <c r="AA905" s="1">
        <f t="shared" si="120"/>
        <v>0</v>
      </c>
    </row>
    <row r="906" spans="2:27" x14ac:dyDescent="0.3">
      <c r="B906" s="12"/>
      <c r="I906" s="14"/>
      <c r="J906" s="13"/>
      <c r="T906" s="1">
        <f t="shared" si="113"/>
        <v>0</v>
      </c>
      <c r="U906" s="1">
        <f t="shared" si="114"/>
        <v>0</v>
      </c>
      <c r="V906" s="1">
        <f t="shared" si="115"/>
        <v>0</v>
      </c>
      <c r="W906" s="1">
        <f t="shared" si="116"/>
        <v>0</v>
      </c>
      <c r="X906" s="1">
        <f t="shared" si="117"/>
        <v>0</v>
      </c>
      <c r="Y906" s="1">
        <f t="shared" si="118"/>
        <v>0</v>
      </c>
      <c r="Z906" s="1">
        <f t="shared" si="119"/>
        <v>0</v>
      </c>
      <c r="AA906" s="1">
        <f t="shared" si="120"/>
        <v>0</v>
      </c>
    </row>
    <row r="907" spans="2:27" x14ac:dyDescent="0.3">
      <c r="B907" s="12"/>
      <c r="I907" s="14"/>
      <c r="J907" s="13"/>
      <c r="T907" s="1">
        <f t="shared" si="113"/>
        <v>0</v>
      </c>
      <c r="U907" s="1">
        <f t="shared" si="114"/>
        <v>0</v>
      </c>
      <c r="V907" s="1">
        <f t="shared" si="115"/>
        <v>0</v>
      </c>
      <c r="W907" s="1">
        <f t="shared" si="116"/>
        <v>0</v>
      </c>
      <c r="X907" s="1">
        <f t="shared" si="117"/>
        <v>0</v>
      </c>
      <c r="Y907" s="1">
        <f t="shared" si="118"/>
        <v>0</v>
      </c>
      <c r="Z907" s="1">
        <f t="shared" si="119"/>
        <v>0</v>
      </c>
      <c r="AA907" s="1">
        <f t="shared" si="120"/>
        <v>0</v>
      </c>
    </row>
    <row r="908" spans="2:27" x14ac:dyDescent="0.3">
      <c r="B908" s="12"/>
      <c r="I908" s="14"/>
      <c r="J908" s="13"/>
      <c r="T908" s="1">
        <f t="shared" si="113"/>
        <v>0</v>
      </c>
      <c r="U908" s="1">
        <f t="shared" si="114"/>
        <v>0</v>
      </c>
      <c r="V908" s="1">
        <f t="shared" si="115"/>
        <v>0</v>
      </c>
      <c r="W908" s="1">
        <f t="shared" si="116"/>
        <v>0</v>
      </c>
      <c r="X908" s="1">
        <f t="shared" si="117"/>
        <v>0</v>
      </c>
      <c r="Y908" s="1">
        <f t="shared" si="118"/>
        <v>0</v>
      </c>
      <c r="Z908" s="1">
        <f t="shared" si="119"/>
        <v>0</v>
      </c>
      <c r="AA908" s="1">
        <f t="shared" si="120"/>
        <v>0</v>
      </c>
    </row>
    <row r="909" spans="2:27" x14ac:dyDescent="0.3">
      <c r="B909" s="12"/>
      <c r="I909" s="14"/>
      <c r="J909" s="13"/>
      <c r="T909" s="1">
        <f t="shared" si="113"/>
        <v>0</v>
      </c>
      <c r="U909" s="1">
        <f t="shared" si="114"/>
        <v>0</v>
      </c>
      <c r="V909" s="1">
        <f t="shared" si="115"/>
        <v>0</v>
      </c>
      <c r="W909" s="1">
        <f t="shared" si="116"/>
        <v>0</v>
      </c>
      <c r="X909" s="1">
        <f t="shared" si="117"/>
        <v>0</v>
      </c>
      <c r="Y909" s="1">
        <f t="shared" si="118"/>
        <v>0</v>
      </c>
      <c r="Z909" s="1">
        <f t="shared" si="119"/>
        <v>0</v>
      </c>
      <c r="AA909" s="1">
        <f t="shared" si="120"/>
        <v>0</v>
      </c>
    </row>
    <row r="910" spans="2:27" x14ac:dyDescent="0.3">
      <c r="B910" s="12"/>
      <c r="I910" s="14"/>
      <c r="J910" s="13"/>
      <c r="T910" s="1">
        <f t="shared" si="113"/>
        <v>0</v>
      </c>
      <c r="U910" s="1">
        <f t="shared" si="114"/>
        <v>0</v>
      </c>
      <c r="V910" s="1">
        <f t="shared" si="115"/>
        <v>0</v>
      </c>
      <c r="W910" s="1">
        <f t="shared" si="116"/>
        <v>0</v>
      </c>
      <c r="X910" s="1">
        <f t="shared" si="117"/>
        <v>0</v>
      </c>
      <c r="Y910" s="1">
        <f t="shared" si="118"/>
        <v>0</v>
      </c>
      <c r="Z910" s="1">
        <f t="shared" si="119"/>
        <v>0</v>
      </c>
      <c r="AA910" s="1">
        <f t="shared" si="120"/>
        <v>0</v>
      </c>
    </row>
    <row r="911" spans="2:27" x14ac:dyDescent="0.3">
      <c r="B911" s="12"/>
      <c r="I911" s="14"/>
      <c r="J911" s="13"/>
      <c r="T911" s="1">
        <f t="shared" si="113"/>
        <v>0</v>
      </c>
      <c r="U911" s="1">
        <f t="shared" si="114"/>
        <v>0</v>
      </c>
      <c r="V911" s="1">
        <f t="shared" si="115"/>
        <v>0</v>
      </c>
      <c r="W911" s="1">
        <f t="shared" si="116"/>
        <v>0</v>
      </c>
      <c r="X911" s="1">
        <f t="shared" si="117"/>
        <v>0</v>
      </c>
      <c r="Y911" s="1">
        <f t="shared" si="118"/>
        <v>0</v>
      </c>
      <c r="Z911" s="1">
        <f t="shared" si="119"/>
        <v>0</v>
      </c>
      <c r="AA911" s="1">
        <f t="shared" si="120"/>
        <v>0</v>
      </c>
    </row>
    <row r="912" spans="2:27" x14ac:dyDescent="0.3">
      <c r="B912" s="12"/>
      <c r="I912" s="14"/>
      <c r="J912" s="13"/>
      <c r="T912" s="1">
        <f t="shared" si="113"/>
        <v>0</v>
      </c>
      <c r="U912" s="1">
        <f t="shared" si="114"/>
        <v>0</v>
      </c>
      <c r="V912" s="1">
        <f t="shared" si="115"/>
        <v>0</v>
      </c>
      <c r="W912" s="1">
        <f t="shared" si="116"/>
        <v>0</v>
      </c>
      <c r="X912" s="1">
        <f t="shared" si="117"/>
        <v>0</v>
      </c>
      <c r="Y912" s="1">
        <f t="shared" si="118"/>
        <v>0</v>
      </c>
      <c r="Z912" s="1">
        <f t="shared" si="119"/>
        <v>0</v>
      </c>
      <c r="AA912" s="1">
        <f t="shared" si="120"/>
        <v>0</v>
      </c>
    </row>
    <row r="913" spans="2:27" x14ac:dyDescent="0.3">
      <c r="B913" s="12"/>
      <c r="I913" s="14"/>
      <c r="J913" s="13"/>
      <c r="T913" s="1">
        <f t="shared" si="113"/>
        <v>0</v>
      </c>
      <c r="U913" s="1">
        <f t="shared" si="114"/>
        <v>0</v>
      </c>
      <c r="V913" s="1">
        <f t="shared" si="115"/>
        <v>0</v>
      </c>
      <c r="W913" s="1">
        <f t="shared" si="116"/>
        <v>0</v>
      </c>
      <c r="X913" s="1">
        <f t="shared" si="117"/>
        <v>0</v>
      </c>
      <c r="Y913" s="1">
        <f t="shared" si="118"/>
        <v>0</v>
      </c>
      <c r="Z913" s="1">
        <f t="shared" si="119"/>
        <v>0</v>
      </c>
      <c r="AA913" s="1">
        <f t="shared" si="120"/>
        <v>0</v>
      </c>
    </row>
    <row r="914" spans="2:27" x14ac:dyDescent="0.3">
      <c r="B914" s="12"/>
      <c r="I914" s="14"/>
      <c r="J914" s="13"/>
      <c r="T914" s="1">
        <f t="shared" si="113"/>
        <v>0</v>
      </c>
      <c r="U914" s="1">
        <f t="shared" si="114"/>
        <v>0</v>
      </c>
      <c r="V914" s="1">
        <f t="shared" si="115"/>
        <v>0</v>
      </c>
      <c r="W914" s="1">
        <f t="shared" si="116"/>
        <v>0</v>
      </c>
      <c r="X914" s="1">
        <f t="shared" si="117"/>
        <v>0</v>
      </c>
      <c r="Y914" s="1">
        <f t="shared" si="118"/>
        <v>0</v>
      </c>
      <c r="Z914" s="1">
        <f t="shared" si="119"/>
        <v>0</v>
      </c>
      <c r="AA914" s="1">
        <f t="shared" si="120"/>
        <v>0</v>
      </c>
    </row>
    <row r="915" spans="2:27" x14ac:dyDescent="0.3">
      <c r="B915" s="12"/>
      <c r="I915" s="14"/>
      <c r="J915" s="13"/>
      <c r="T915" s="1">
        <f t="shared" si="113"/>
        <v>0</v>
      </c>
      <c r="U915" s="1">
        <f t="shared" si="114"/>
        <v>0</v>
      </c>
      <c r="V915" s="1">
        <f t="shared" si="115"/>
        <v>0</v>
      </c>
      <c r="W915" s="1">
        <f t="shared" si="116"/>
        <v>0</v>
      </c>
      <c r="X915" s="1">
        <f t="shared" si="117"/>
        <v>0</v>
      </c>
      <c r="Y915" s="1">
        <f t="shared" si="118"/>
        <v>0</v>
      </c>
      <c r="Z915" s="1">
        <f t="shared" si="119"/>
        <v>0</v>
      </c>
      <c r="AA915" s="1">
        <f t="shared" si="120"/>
        <v>0</v>
      </c>
    </row>
    <row r="916" spans="2:27" x14ac:dyDescent="0.3">
      <c r="B916" s="12"/>
      <c r="I916" s="14"/>
      <c r="J916" s="13"/>
      <c r="T916" s="1">
        <f t="shared" si="113"/>
        <v>0</v>
      </c>
      <c r="U916" s="1">
        <f t="shared" si="114"/>
        <v>0</v>
      </c>
      <c r="V916" s="1">
        <f t="shared" si="115"/>
        <v>0</v>
      </c>
      <c r="W916" s="1">
        <f t="shared" si="116"/>
        <v>0</v>
      </c>
      <c r="X916" s="1">
        <f t="shared" si="117"/>
        <v>0</v>
      </c>
      <c r="Y916" s="1">
        <f t="shared" si="118"/>
        <v>0</v>
      </c>
      <c r="Z916" s="1">
        <f t="shared" si="119"/>
        <v>0</v>
      </c>
      <c r="AA916" s="1">
        <f t="shared" si="120"/>
        <v>0</v>
      </c>
    </row>
    <row r="917" spans="2:27" x14ac:dyDescent="0.3">
      <c r="B917" s="12"/>
      <c r="I917" s="14"/>
      <c r="J917" s="13"/>
      <c r="T917" s="1">
        <f t="shared" si="113"/>
        <v>0</v>
      </c>
      <c r="U917" s="1">
        <f t="shared" si="114"/>
        <v>0</v>
      </c>
      <c r="V917" s="1">
        <f t="shared" si="115"/>
        <v>0</v>
      </c>
      <c r="W917" s="1">
        <f t="shared" si="116"/>
        <v>0</v>
      </c>
      <c r="X917" s="1">
        <f t="shared" si="117"/>
        <v>0</v>
      </c>
      <c r="Y917" s="1">
        <f t="shared" si="118"/>
        <v>0</v>
      </c>
      <c r="Z917" s="1">
        <f t="shared" si="119"/>
        <v>0</v>
      </c>
      <c r="AA917" s="1">
        <f t="shared" si="120"/>
        <v>0</v>
      </c>
    </row>
    <row r="918" spans="2:27" x14ac:dyDescent="0.3">
      <c r="B918" s="12"/>
      <c r="I918" s="14"/>
      <c r="J918" s="13"/>
      <c r="T918" s="1">
        <f t="shared" si="113"/>
        <v>0</v>
      </c>
      <c r="U918" s="1">
        <f t="shared" si="114"/>
        <v>0</v>
      </c>
      <c r="V918" s="1">
        <f t="shared" si="115"/>
        <v>0</v>
      </c>
      <c r="W918" s="1">
        <f t="shared" si="116"/>
        <v>0</v>
      </c>
      <c r="X918" s="1">
        <f t="shared" si="117"/>
        <v>0</v>
      </c>
      <c r="Y918" s="1">
        <f t="shared" si="118"/>
        <v>0</v>
      </c>
      <c r="Z918" s="1">
        <f t="shared" si="119"/>
        <v>0</v>
      </c>
      <c r="AA918" s="1">
        <f t="shared" si="120"/>
        <v>0</v>
      </c>
    </row>
    <row r="919" spans="2:27" x14ac:dyDescent="0.3">
      <c r="B919" s="12"/>
      <c r="I919" s="14"/>
      <c r="J919" s="13"/>
      <c r="T919" s="1">
        <f t="shared" si="113"/>
        <v>0</v>
      </c>
      <c r="U919" s="1">
        <f t="shared" si="114"/>
        <v>0</v>
      </c>
      <c r="V919" s="1">
        <f t="shared" si="115"/>
        <v>0</v>
      </c>
      <c r="W919" s="1">
        <f t="shared" si="116"/>
        <v>0</v>
      </c>
      <c r="X919" s="1">
        <f t="shared" si="117"/>
        <v>0</v>
      </c>
      <c r="Y919" s="1">
        <f t="shared" si="118"/>
        <v>0</v>
      </c>
      <c r="Z919" s="1">
        <f t="shared" si="119"/>
        <v>0</v>
      </c>
      <c r="AA919" s="1">
        <f t="shared" si="120"/>
        <v>0</v>
      </c>
    </row>
    <row r="920" spans="2:27" x14ac:dyDescent="0.3">
      <c r="B920" s="12"/>
      <c r="I920" s="14"/>
      <c r="J920" s="13"/>
      <c r="T920" s="1">
        <f t="shared" si="113"/>
        <v>0</v>
      </c>
      <c r="U920" s="1">
        <f t="shared" si="114"/>
        <v>0</v>
      </c>
      <c r="V920" s="1">
        <f t="shared" si="115"/>
        <v>0</v>
      </c>
      <c r="W920" s="1">
        <f t="shared" si="116"/>
        <v>0</v>
      </c>
      <c r="X920" s="1">
        <f t="shared" si="117"/>
        <v>0</v>
      </c>
      <c r="Y920" s="1">
        <f t="shared" si="118"/>
        <v>0</v>
      </c>
      <c r="Z920" s="1">
        <f t="shared" si="119"/>
        <v>0</v>
      </c>
      <c r="AA920" s="1">
        <f t="shared" si="120"/>
        <v>0</v>
      </c>
    </row>
    <row r="921" spans="2:27" x14ac:dyDescent="0.3">
      <c r="B921" s="12"/>
      <c r="I921" s="14"/>
      <c r="J921" s="13"/>
      <c r="T921" s="1">
        <f t="shared" si="113"/>
        <v>0</v>
      </c>
      <c r="U921" s="1">
        <f t="shared" si="114"/>
        <v>0</v>
      </c>
      <c r="V921" s="1">
        <f t="shared" si="115"/>
        <v>0</v>
      </c>
      <c r="W921" s="1">
        <f t="shared" si="116"/>
        <v>0</v>
      </c>
      <c r="X921" s="1">
        <f t="shared" si="117"/>
        <v>0</v>
      </c>
      <c r="Y921" s="1">
        <f t="shared" si="118"/>
        <v>0</v>
      </c>
      <c r="Z921" s="1">
        <f t="shared" si="119"/>
        <v>0</v>
      </c>
      <c r="AA921" s="1">
        <f t="shared" si="120"/>
        <v>0</v>
      </c>
    </row>
    <row r="922" spans="2:27" x14ac:dyDescent="0.3">
      <c r="B922" s="12"/>
      <c r="I922" s="14"/>
      <c r="J922" s="13"/>
      <c r="T922" s="1">
        <f t="shared" si="113"/>
        <v>0</v>
      </c>
      <c r="U922" s="1">
        <f t="shared" si="114"/>
        <v>0</v>
      </c>
      <c r="V922" s="1">
        <f t="shared" si="115"/>
        <v>0</v>
      </c>
      <c r="W922" s="1">
        <f t="shared" si="116"/>
        <v>0</v>
      </c>
      <c r="X922" s="1">
        <f t="shared" si="117"/>
        <v>0</v>
      </c>
      <c r="Y922" s="1">
        <f t="shared" si="118"/>
        <v>0</v>
      </c>
      <c r="Z922" s="1">
        <f t="shared" si="119"/>
        <v>0</v>
      </c>
      <c r="AA922" s="1">
        <f t="shared" si="120"/>
        <v>0</v>
      </c>
    </row>
    <row r="923" spans="2:27" x14ac:dyDescent="0.3">
      <c r="B923" s="12"/>
      <c r="I923" s="14"/>
      <c r="J923" s="13"/>
      <c r="T923" s="1">
        <f t="shared" si="113"/>
        <v>0</v>
      </c>
      <c r="U923" s="1">
        <f t="shared" si="114"/>
        <v>0</v>
      </c>
      <c r="V923" s="1">
        <f t="shared" si="115"/>
        <v>0</v>
      </c>
      <c r="W923" s="1">
        <f t="shared" si="116"/>
        <v>0</v>
      </c>
      <c r="X923" s="1">
        <f t="shared" si="117"/>
        <v>0</v>
      </c>
      <c r="Y923" s="1">
        <f t="shared" si="118"/>
        <v>0</v>
      </c>
      <c r="Z923" s="1">
        <f t="shared" si="119"/>
        <v>0</v>
      </c>
      <c r="AA923" s="1">
        <f t="shared" si="120"/>
        <v>0</v>
      </c>
    </row>
    <row r="924" spans="2:27" x14ac:dyDescent="0.3">
      <c r="B924" s="12"/>
      <c r="J924" s="13"/>
      <c r="T924" s="1">
        <f t="shared" si="113"/>
        <v>0</v>
      </c>
      <c r="U924" s="1">
        <f t="shared" si="114"/>
        <v>0</v>
      </c>
      <c r="V924" s="1">
        <f t="shared" si="115"/>
        <v>0</v>
      </c>
      <c r="W924" s="1">
        <f t="shared" si="116"/>
        <v>0</v>
      </c>
      <c r="X924" s="1">
        <f t="shared" si="117"/>
        <v>0</v>
      </c>
      <c r="Y924" s="1">
        <f t="shared" si="118"/>
        <v>0</v>
      </c>
      <c r="Z924" s="1">
        <f t="shared" si="119"/>
        <v>0</v>
      </c>
      <c r="AA924" s="1">
        <f t="shared" si="120"/>
        <v>0</v>
      </c>
    </row>
    <row r="925" spans="2:27" x14ac:dyDescent="0.3">
      <c r="B925" s="12"/>
      <c r="J925" s="13"/>
      <c r="T925" s="1">
        <f t="shared" si="113"/>
        <v>0</v>
      </c>
      <c r="U925" s="1">
        <f t="shared" si="114"/>
        <v>0</v>
      </c>
      <c r="V925" s="1">
        <f t="shared" si="115"/>
        <v>0</v>
      </c>
      <c r="W925" s="1">
        <f t="shared" si="116"/>
        <v>0</v>
      </c>
      <c r="X925" s="1">
        <f t="shared" si="117"/>
        <v>0</v>
      </c>
      <c r="Y925" s="1">
        <f t="shared" si="118"/>
        <v>0</v>
      </c>
      <c r="Z925" s="1">
        <f t="shared" si="119"/>
        <v>0</v>
      </c>
      <c r="AA925" s="1">
        <f t="shared" si="120"/>
        <v>0</v>
      </c>
    </row>
    <row r="926" spans="2:27" x14ac:dyDescent="0.3">
      <c r="B926" s="12"/>
      <c r="J926" s="13"/>
      <c r="T926" s="1">
        <f t="shared" si="113"/>
        <v>0</v>
      </c>
      <c r="U926" s="1">
        <f t="shared" si="114"/>
        <v>0</v>
      </c>
      <c r="V926" s="1">
        <f t="shared" si="115"/>
        <v>0</v>
      </c>
      <c r="W926" s="1">
        <f t="shared" si="116"/>
        <v>0</v>
      </c>
      <c r="X926" s="1">
        <f t="shared" si="117"/>
        <v>0</v>
      </c>
      <c r="Y926" s="1">
        <f t="shared" si="118"/>
        <v>0</v>
      </c>
      <c r="Z926" s="1">
        <f t="shared" si="119"/>
        <v>0</v>
      </c>
      <c r="AA926" s="1">
        <f t="shared" si="120"/>
        <v>0</v>
      </c>
    </row>
    <row r="927" spans="2:27" x14ac:dyDescent="0.3">
      <c r="B927" s="12"/>
      <c r="J927" s="13"/>
      <c r="T927" s="1">
        <f t="shared" si="113"/>
        <v>0</v>
      </c>
      <c r="U927" s="1">
        <f t="shared" si="114"/>
        <v>0</v>
      </c>
      <c r="V927" s="1">
        <f t="shared" si="115"/>
        <v>0</v>
      </c>
      <c r="W927" s="1">
        <f t="shared" si="116"/>
        <v>0</v>
      </c>
      <c r="X927" s="1">
        <f t="shared" si="117"/>
        <v>0</v>
      </c>
      <c r="Y927" s="1">
        <f t="shared" si="118"/>
        <v>0</v>
      </c>
      <c r="Z927" s="1">
        <f t="shared" si="119"/>
        <v>0</v>
      </c>
      <c r="AA927" s="1">
        <f t="shared" si="120"/>
        <v>0</v>
      </c>
    </row>
    <row r="928" spans="2:27" x14ac:dyDescent="0.3">
      <c r="B928" s="12"/>
      <c r="J928" s="13"/>
      <c r="T928" s="1">
        <f t="shared" si="113"/>
        <v>0</v>
      </c>
      <c r="U928" s="1">
        <f t="shared" si="114"/>
        <v>0</v>
      </c>
      <c r="V928" s="1">
        <f t="shared" si="115"/>
        <v>0</v>
      </c>
      <c r="W928" s="1">
        <f t="shared" si="116"/>
        <v>0</v>
      </c>
      <c r="X928" s="1">
        <f t="shared" si="117"/>
        <v>0</v>
      </c>
      <c r="Y928" s="1">
        <f t="shared" si="118"/>
        <v>0</v>
      </c>
      <c r="Z928" s="1">
        <f t="shared" si="119"/>
        <v>0</v>
      </c>
      <c r="AA928" s="1">
        <f t="shared" si="120"/>
        <v>0</v>
      </c>
    </row>
    <row r="929" spans="2:27" x14ac:dyDescent="0.3">
      <c r="B929" s="12"/>
      <c r="J929" s="13"/>
      <c r="T929" s="1">
        <f t="shared" si="113"/>
        <v>0</v>
      </c>
      <c r="U929" s="1">
        <f t="shared" si="114"/>
        <v>0</v>
      </c>
      <c r="V929" s="1">
        <f t="shared" si="115"/>
        <v>0</v>
      </c>
      <c r="W929" s="1">
        <f t="shared" si="116"/>
        <v>0</v>
      </c>
      <c r="X929" s="1">
        <f t="shared" si="117"/>
        <v>0</v>
      </c>
      <c r="Y929" s="1">
        <f t="shared" si="118"/>
        <v>0</v>
      </c>
      <c r="Z929" s="1">
        <f t="shared" si="119"/>
        <v>0</v>
      </c>
      <c r="AA929" s="1">
        <f t="shared" si="120"/>
        <v>0</v>
      </c>
    </row>
    <row r="930" spans="2:27" x14ac:dyDescent="0.3">
      <c r="B930" s="12"/>
      <c r="J930" s="13"/>
      <c r="T930" s="1">
        <f t="shared" si="113"/>
        <v>0</v>
      </c>
      <c r="U930" s="1">
        <f t="shared" si="114"/>
        <v>0</v>
      </c>
      <c r="V930" s="1">
        <f t="shared" si="115"/>
        <v>0</v>
      </c>
      <c r="W930" s="1">
        <f t="shared" si="116"/>
        <v>0</v>
      </c>
      <c r="X930" s="1">
        <f t="shared" si="117"/>
        <v>0</v>
      </c>
      <c r="Y930" s="1">
        <f t="shared" si="118"/>
        <v>0</v>
      </c>
      <c r="Z930" s="1">
        <f t="shared" si="119"/>
        <v>0</v>
      </c>
      <c r="AA930" s="1">
        <f t="shared" si="120"/>
        <v>0</v>
      </c>
    </row>
    <row r="931" spans="2:27" x14ac:dyDescent="0.3">
      <c r="B931" s="12"/>
      <c r="J931" s="13"/>
      <c r="T931" s="1">
        <f t="shared" si="113"/>
        <v>0</v>
      </c>
      <c r="U931" s="1">
        <f t="shared" si="114"/>
        <v>0</v>
      </c>
      <c r="V931" s="1">
        <f t="shared" si="115"/>
        <v>0</v>
      </c>
      <c r="W931" s="1">
        <f t="shared" si="116"/>
        <v>0</v>
      </c>
      <c r="X931" s="1">
        <f t="shared" si="117"/>
        <v>0</v>
      </c>
      <c r="Y931" s="1">
        <f t="shared" si="118"/>
        <v>0</v>
      </c>
      <c r="Z931" s="1">
        <f t="shared" si="119"/>
        <v>0</v>
      </c>
      <c r="AA931" s="1">
        <f t="shared" si="120"/>
        <v>0</v>
      </c>
    </row>
    <row r="932" spans="2:27" x14ac:dyDescent="0.3">
      <c r="B932" s="12"/>
      <c r="J932" s="13"/>
      <c r="T932" s="1">
        <f t="shared" si="113"/>
        <v>0</v>
      </c>
      <c r="U932" s="1">
        <f t="shared" si="114"/>
        <v>0</v>
      </c>
      <c r="V932" s="1">
        <f t="shared" si="115"/>
        <v>0</v>
      </c>
      <c r="W932" s="1">
        <f t="shared" si="116"/>
        <v>0</v>
      </c>
      <c r="X932" s="1">
        <f t="shared" si="117"/>
        <v>0</v>
      </c>
      <c r="Y932" s="1">
        <f t="shared" si="118"/>
        <v>0</v>
      </c>
      <c r="Z932" s="1">
        <f t="shared" si="119"/>
        <v>0</v>
      </c>
      <c r="AA932" s="1">
        <f t="shared" si="120"/>
        <v>0</v>
      </c>
    </row>
    <row r="933" spans="2:27" x14ac:dyDescent="0.3">
      <c r="B933" s="12"/>
      <c r="J933" s="13"/>
      <c r="T933" s="1">
        <f t="shared" si="113"/>
        <v>0</v>
      </c>
      <c r="U933" s="1">
        <f t="shared" si="114"/>
        <v>0</v>
      </c>
      <c r="V933" s="1">
        <f t="shared" si="115"/>
        <v>0</v>
      </c>
      <c r="W933" s="1">
        <f t="shared" si="116"/>
        <v>0</v>
      </c>
      <c r="X933" s="1">
        <f t="shared" si="117"/>
        <v>0</v>
      </c>
      <c r="Y933" s="1">
        <f t="shared" si="118"/>
        <v>0</v>
      </c>
      <c r="Z933" s="1">
        <f t="shared" si="119"/>
        <v>0</v>
      </c>
      <c r="AA933" s="1">
        <f t="shared" si="120"/>
        <v>0</v>
      </c>
    </row>
    <row r="934" spans="2:27" x14ac:dyDescent="0.3">
      <c r="B934" s="12"/>
      <c r="J934" s="13"/>
      <c r="T934" s="1">
        <f t="shared" si="113"/>
        <v>0</v>
      </c>
      <c r="U934" s="1">
        <f t="shared" si="114"/>
        <v>0</v>
      </c>
      <c r="V934" s="1">
        <f t="shared" si="115"/>
        <v>0</v>
      </c>
      <c r="W934" s="1">
        <f t="shared" si="116"/>
        <v>0</v>
      </c>
      <c r="X934" s="1">
        <f t="shared" si="117"/>
        <v>0</v>
      </c>
      <c r="Y934" s="1">
        <f t="shared" si="118"/>
        <v>0</v>
      </c>
      <c r="Z934" s="1">
        <f t="shared" si="119"/>
        <v>0</v>
      </c>
      <c r="AA934" s="1">
        <f t="shared" si="120"/>
        <v>0</v>
      </c>
    </row>
    <row r="935" spans="2:27" x14ac:dyDescent="0.3">
      <c r="B935" s="12"/>
      <c r="J935" s="13"/>
      <c r="T935" s="1">
        <f t="shared" si="113"/>
        <v>0</v>
      </c>
      <c r="U935" s="1">
        <f t="shared" si="114"/>
        <v>0</v>
      </c>
      <c r="V935" s="1">
        <f t="shared" si="115"/>
        <v>0</v>
      </c>
      <c r="W935" s="1">
        <f t="shared" si="116"/>
        <v>0</v>
      </c>
      <c r="X935" s="1">
        <f t="shared" si="117"/>
        <v>0</v>
      </c>
      <c r="Y935" s="1">
        <f t="shared" si="118"/>
        <v>0</v>
      </c>
      <c r="Z935" s="1">
        <f t="shared" si="119"/>
        <v>0</v>
      </c>
      <c r="AA935" s="1">
        <f t="shared" si="120"/>
        <v>0</v>
      </c>
    </row>
    <row r="936" spans="2:27" x14ac:dyDescent="0.3">
      <c r="B936" s="12"/>
      <c r="J936" s="13"/>
      <c r="T936" s="1">
        <f t="shared" si="113"/>
        <v>0</v>
      </c>
      <c r="U936" s="1">
        <f t="shared" si="114"/>
        <v>0</v>
      </c>
      <c r="V936" s="1">
        <f t="shared" si="115"/>
        <v>0</v>
      </c>
      <c r="W936" s="1">
        <f t="shared" si="116"/>
        <v>0</v>
      </c>
      <c r="X936" s="1">
        <f t="shared" si="117"/>
        <v>0</v>
      </c>
      <c r="Y936" s="1">
        <f t="shared" si="118"/>
        <v>0</v>
      </c>
      <c r="Z936" s="1">
        <f t="shared" si="119"/>
        <v>0</v>
      </c>
      <c r="AA936" s="1">
        <f t="shared" si="120"/>
        <v>0</v>
      </c>
    </row>
    <row r="937" spans="2:27" x14ac:dyDescent="0.3">
      <c r="B937" s="12"/>
      <c r="J937" s="13"/>
      <c r="T937" s="1">
        <f t="shared" si="113"/>
        <v>0</v>
      </c>
      <c r="U937" s="1">
        <f t="shared" si="114"/>
        <v>0</v>
      </c>
      <c r="V937" s="1">
        <f t="shared" si="115"/>
        <v>0</v>
      </c>
      <c r="W937" s="1">
        <f t="shared" si="116"/>
        <v>0</v>
      </c>
      <c r="X937" s="1">
        <f t="shared" si="117"/>
        <v>0</v>
      </c>
      <c r="Y937" s="1">
        <f t="shared" si="118"/>
        <v>0</v>
      </c>
      <c r="Z937" s="1">
        <f t="shared" si="119"/>
        <v>0</v>
      </c>
      <c r="AA937" s="1">
        <f t="shared" si="120"/>
        <v>0</v>
      </c>
    </row>
    <row r="938" spans="2:27" x14ac:dyDescent="0.3">
      <c r="B938" s="12"/>
      <c r="J938" s="13"/>
      <c r="T938" s="1">
        <f t="shared" si="113"/>
        <v>0</v>
      </c>
      <c r="U938" s="1">
        <f t="shared" si="114"/>
        <v>0</v>
      </c>
      <c r="V938" s="1">
        <f t="shared" si="115"/>
        <v>0</v>
      </c>
      <c r="W938" s="1">
        <f t="shared" si="116"/>
        <v>0</v>
      </c>
      <c r="X938" s="1">
        <f t="shared" si="117"/>
        <v>0</v>
      </c>
      <c r="Y938" s="1">
        <f t="shared" si="118"/>
        <v>0</v>
      </c>
      <c r="Z938" s="1">
        <f t="shared" si="119"/>
        <v>0</v>
      </c>
      <c r="AA938" s="1">
        <f t="shared" si="120"/>
        <v>0</v>
      </c>
    </row>
    <row r="939" spans="2:27" x14ac:dyDescent="0.3">
      <c r="B939" s="12"/>
      <c r="J939" s="13"/>
      <c r="T939" s="1">
        <f t="shared" si="113"/>
        <v>0</v>
      </c>
      <c r="U939" s="1">
        <f t="shared" si="114"/>
        <v>0</v>
      </c>
      <c r="V939" s="1">
        <f t="shared" si="115"/>
        <v>0</v>
      </c>
      <c r="W939" s="1">
        <f t="shared" si="116"/>
        <v>0</v>
      </c>
      <c r="X939" s="1">
        <f t="shared" si="117"/>
        <v>0</v>
      </c>
      <c r="Y939" s="1">
        <f t="shared" si="118"/>
        <v>0</v>
      </c>
      <c r="Z939" s="1">
        <f t="shared" si="119"/>
        <v>0</v>
      </c>
      <c r="AA939" s="1">
        <f t="shared" si="120"/>
        <v>0</v>
      </c>
    </row>
    <row r="940" spans="2:27" x14ac:dyDescent="0.3">
      <c r="B940" s="12"/>
      <c r="J940" s="13"/>
      <c r="T940" s="1">
        <f t="shared" si="113"/>
        <v>0</v>
      </c>
      <c r="U940" s="1">
        <f t="shared" si="114"/>
        <v>0</v>
      </c>
      <c r="V940" s="1">
        <f t="shared" si="115"/>
        <v>0</v>
      </c>
      <c r="W940" s="1">
        <f t="shared" si="116"/>
        <v>0</v>
      </c>
      <c r="X940" s="1">
        <f t="shared" si="117"/>
        <v>0</v>
      </c>
      <c r="Y940" s="1">
        <f t="shared" si="118"/>
        <v>0</v>
      </c>
      <c r="Z940" s="1">
        <f t="shared" si="119"/>
        <v>0</v>
      </c>
      <c r="AA940" s="1">
        <f t="shared" si="120"/>
        <v>0</v>
      </c>
    </row>
    <row r="941" spans="2:27" x14ac:dyDescent="0.3">
      <c r="B941" s="12"/>
      <c r="J941" s="13"/>
      <c r="T941" s="1">
        <f t="shared" si="113"/>
        <v>0</v>
      </c>
      <c r="U941" s="1">
        <f t="shared" si="114"/>
        <v>0</v>
      </c>
      <c r="V941" s="1">
        <f t="shared" si="115"/>
        <v>0</v>
      </c>
      <c r="W941" s="1">
        <f t="shared" si="116"/>
        <v>0</v>
      </c>
      <c r="X941" s="1">
        <f t="shared" si="117"/>
        <v>0</v>
      </c>
      <c r="Y941" s="1">
        <f t="shared" si="118"/>
        <v>0</v>
      </c>
      <c r="Z941" s="1">
        <f t="shared" si="119"/>
        <v>0</v>
      </c>
      <c r="AA941" s="1">
        <f t="shared" si="120"/>
        <v>0</v>
      </c>
    </row>
    <row r="942" spans="2:27" x14ac:dyDescent="0.3">
      <c r="B942" s="12"/>
      <c r="J942" s="13"/>
      <c r="T942" s="1">
        <f t="shared" si="113"/>
        <v>0</v>
      </c>
      <c r="U942" s="1">
        <f t="shared" si="114"/>
        <v>0</v>
      </c>
      <c r="V942" s="1">
        <f t="shared" si="115"/>
        <v>0</v>
      </c>
      <c r="W942" s="1">
        <f t="shared" si="116"/>
        <v>0</v>
      </c>
      <c r="X942" s="1">
        <f t="shared" si="117"/>
        <v>0</v>
      </c>
      <c r="Y942" s="1">
        <f t="shared" si="118"/>
        <v>0</v>
      </c>
      <c r="Z942" s="1">
        <f t="shared" si="119"/>
        <v>0</v>
      </c>
      <c r="AA942" s="1">
        <f t="shared" si="120"/>
        <v>0</v>
      </c>
    </row>
    <row r="943" spans="2:27" x14ac:dyDescent="0.3">
      <c r="B943" s="12"/>
      <c r="J943" s="13"/>
      <c r="T943" s="1">
        <f t="shared" si="113"/>
        <v>0</v>
      </c>
      <c r="U943" s="1">
        <f t="shared" si="114"/>
        <v>0</v>
      </c>
      <c r="V943" s="1">
        <f t="shared" si="115"/>
        <v>0</v>
      </c>
      <c r="W943" s="1">
        <f t="shared" si="116"/>
        <v>0</v>
      </c>
      <c r="X943" s="1">
        <f t="shared" si="117"/>
        <v>0</v>
      </c>
      <c r="Y943" s="1">
        <f t="shared" si="118"/>
        <v>0</v>
      </c>
      <c r="Z943" s="1">
        <f t="shared" si="119"/>
        <v>0</v>
      </c>
      <c r="AA943" s="1">
        <f t="shared" si="120"/>
        <v>0</v>
      </c>
    </row>
    <row r="944" spans="2:27" x14ac:dyDescent="0.3">
      <c r="B944" s="12"/>
      <c r="J944" s="13"/>
      <c r="T944" s="1">
        <f t="shared" si="113"/>
        <v>0</v>
      </c>
      <c r="U944" s="1">
        <f t="shared" si="114"/>
        <v>0</v>
      </c>
      <c r="V944" s="1">
        <f t="shared" si="115"/>
        <v>0</v>
      </c>
      <c r="W944" s="1">
        <f t="shared" si="116"/>
        <v>0</v>
      </c>
      <c r="X944" s="1">
        <f t="shared" si="117"/>
        <v>0</v>
      </c>
      <c r="Y944" s="1">
        <f t="shared" si="118"/>
        <v>0</v>
      </c>
      <c r="Z944" s="1">
        <f t="shared" si="119"/>
        <v>0</v>
      </c>
      <c r="AA944" s="1">
        <f t="shared" si="120"/>
        <v>0</v>
      </c>
    </row>
    <row r="945" spans="2:27" x14ac:dyDescent="0.3">
      <c r="B945" s="12"/>
      <c r="J945" s="13"/>
      <c r="T945" s="1">
        <f t="shared" si="113"/>
        <v>0</v>
      </c>
      <c r="U945" s="1">
        <f t="shared" si="114"/>
        <v>0</v>
      </c>
      <c r="V945" s="1">
        <f t="shared" si="115"/>
        <v>0</v>
      </c>
      <c r="W945" s="1">
        <f t="shared" si="116"/>
        <v>0</v>
      </c>
      <c r="X945" s="1">
        <f t="shared" si="117"/>
        <v>0</v>
      </c>
      <c r="Y945" s="1">
        <f t="shared" si="118"/>
        <v>0</v>
      </c>
      <c r="Z945" s="1">
        <f t="shared" si="119"/>
        <v>0</v>
      </c>
      <c r="AA945" s="1">
        <f t="shared" si="120"/>
        <v>0</v>
      </c>
    </row>
    <row r="946" spans="2:27" x14ac:dyDescent="0.3">
      <c r="B946" s="12"/>
      <c r="J946" s="13"/>
      <c r="T946" s="1">
        <f t="shared" si="113"/>
        <v>0</v>
      </c>
      <c r="U946" s="1">
        <f t="shared" si="114"/>
        <v>0</v>
      </c>
      <c r="V946" s="1">
        <f t="shared" si="115"/>
        <v>0</v>
      </c>
      <c r="W946" s="1">
        <f t="shared" si="116"/>
        <v>0</v>
      </c>
      <c r="X946" s="1">
        <f t="shared" si="117"/>
        <v>0</v>
      </c>
      <c r="Y946" s="1">
        <f t="shared" si="118"/>
        <v>0</v>
      </c>
      <c r="Z946" s="1">
        <f t="shared" si="119"/>
        <v>0</v>
      </c>
      <c r="AA946" s="1">
        <f t="shared" si="120"/>
        <v>0</v>
      </c>
    </row>
    <row r="947" spans="2:27" x14ac:dyDescent="0.3">
      <c r="B947" s="12"/>
      <c r="J947" s="13"/>
      <c r="T947" s="1">
        <f t="shared" si="113"/>
        <v>0</v>
      </c>
      <c r="U947" s="1">
        <f t="shared" si="114"/>
        <v>0</v>
      </c>
      <c r="V947" s="1">
        <f t="shared" si="115"/>
        <v>0</v>
      </c>
      <c r="W947" s="1">
        <f t="shared" si="116"/>
        <v>0</v>
      </c>
      <c r="X947" s="1">
        <f t="shared" si="117"/>
        <v>0</v>
      </c>
      <c r="Y947" s="1">
        <f t="shared" si="118"/>
        <v>0</v>
      </c>
      <c r="Z947" s="1">
        <f t="shared" si="119"/>
        <v>0</v>
      </c>
      <c r="AA947" s="1">
        <f t="shared" si="120"/>
        <v>0</v>
      </c>
    </row>
    <row r="948" spans="2:27" x14ac:dyDescent="0.3">
      <c r="B948" s="12"/>
      <c r="J948" s="13"/>
      <c r="T948" s="1">
        <f t="shared" si="113"/>
        <v>0</v>
      </c>
      <c r="U948" s="1">
        <f t="shared" si="114"/>
        <v>0</v>
      </c>
      <c r="V948" s="1">
        <f t="shared" si="115"/>
        <v>0</v>
      </c>
      <c r="W948" s="1">
        <f t="shared" si="116"/>
        <v>0</v>
      </c>
      <c r="X948" s="1">
        <f t="shared" si="117"/>
        <v>0</v>
      </c>
      <c r="Y948" s="1">
        <f t="shared" si="118"/>
        <v>0</v>
      </c>
      <c r="Z948" s="1">
        <f t="shared" si="119"/>
        <v>0</v>
      </c>
      <c r="AA948" s="1">
        <f t="shared" si="120"/>
        <v>0</v>
      </c>
    </row>
    <row r="949" spans="2:27" x14ac:dyDescent="0.3">
      <c r="B949" s="12"/>
      <c r="J949" s="13"/>
      <c r="T949" s="1">
        <f t="shared" si="113"/>
        <v>0</v>
      </c>
      <c r="U949" s="1">
        <f t="shared" si="114"/>
        <v>0</v>
      </c>
      <c r="V949" s="1">
        <f t="shared" si="115"/>
        <v>0</v>
      </c>
      <c r="W949" s="1">
        <f t="shared" si="116"/>
        <v>0</v>
      </c>
      <c r="X949" s="1">
        <f t="shared" si="117"/>
        <v>0</v>
      </c>
      <c r="Y949" s="1">
        <f t="shared" si="118"/>
        <v>0</v>
      </c>
      <c r="Z949" s="1">
        <f t="shared" si="119"/>
        <v>0</v>
      </c>
      <c r="AA949" s="1">
        <f t="shared" si="120"/>
        <v>0</v>
      </c>
    </row>
    <row r="950" spans="2:27" x14ac:dyDescent="0.3">
      <c r="B950" s="12"/>
      <c r="J950" s="13"/>
      <c r="T950" s="1">
        <f t="shared" si="113"/>
        <v>0</v>
      </c>
      <c r="U950" s="1">
        <f t="shared" si="114"/>
        <v>0</v>
      </c>
      <c r="V950" s="1">
        <f t="shared" si="115"/>
        <v>0</v>
      </c>
      <c r="W950" s="1">
        <f t="shared" si="116"/>
        <v>0</v>
      </c>
      <c r="X950" s="1">
        <f t="shared" si="117"/>
        <v>0</v>
      </c>
      <c r="Y950" s="1">
        <f t="shared" si="118"/>
        <v>0</v>
      </c>
      <c r="Z950" s="1">
        <f t="shared" si="119"/>
        <v>0</v>
      </c>
      <c r="AA950" s="1">
        <f t="shared" si="120"/>
        <v>0</v>
      </c>
    </row>
    <row r="951" spans="2:27" x14ac:dyDescent="0.3">
      <c r="B951" s="12"/>
      <c r="J951" s="13"/>
      <c r="T951" s="1">
        <f t="shared" si="113"/>
        <v>0</v>
      </c>
      <c r="U951" s="1">
        <f t="shared" si="114"/>
        <v>0</v>
      </c>
      <c r="V951" s="1">
        <f t="shared" si="115"/>
        <v>0</v>
      </c>
      <c r="W951" s="1">
        <f t="shared" si="116"/>
        <v>0</v>
      </c>
      <c r="X951" s="1">
        <f t="shared" si="117"/>
        <v>0</v>
      </c>
      <c r="Y951" s="1">
        <f t="shared" si="118"/>
        <v>0</v>
      </c>
      <c r="Z951" s="1">
        <f t="shared" si="119"/>
        <v>0</v>
      </c>
      <c r="AA951" s="1">
        <f t="shared" si="120"/>
        <v>0</v>
      </c>
    </row>
    <row r="952" spans="2:27" x14ac:dyDescent="0.3">
      <c r="B952" s="12"/>
      <c r="J952" s="13"/>
      <c r="T952" s="1">
        <f t="shared" si="113"/>
        <v>0</v>
      </c>
      <c r="U952" s="1">
        <f t="shared" si="114"/>
        <v>0</v>
      </c>
      <c r="V952" s="1">
        <f t="shared" si="115"/>
        <v>0</v>
      </c>
      <c r="W952" s="1">
        <f t="shared" si="116"/>
        <v>0</v>
      </c>
      <c r="X952" s="1">
        <f t="shared" si="117"/>
        <v>0</v>
      </c>
      <c r="Y952" s="1">
        <f t="shared" si="118"/>
        <v>0</v>
      </c>
      <c r="Z952" s="1">
        <f t="shared" si="119"/>
        <v>0</v>
      </c>
      <c r="AA952" s="1">
        <f t="shared" si="120"/>
        <v>0</v>
      </c>
    </row>
    <row r="953" spans="2:27" x14ac:dyDescent="0.3">
      <c r="B953" s="12"/>
      <c r="J953" s="13"/>
      <c r="T953" s="1">
        <f t="shared" si="113"/>
        <v>0</v>
      </c>
      <c r="U953" s="1">
        <f t="shared" si="114"/>
        <v>0</v>
      </c>
      <c r="V953" s="1">
        <f t="shared" si="115"/>
        <v>0</v>
      </c>
      <c r="W953" s="1">
        <f t="shared" si="116"/>
        <v>0</v>
      </c>
      <c r="X953" s="1">
        <f t="shared" si="117"/>
        <v>0</v>
      </c>
      <c r="Y953" s="1">
        <f t="shared" si="118"/>
        <v>0</v>
      </c>
      <c r="Z953" s="1">
        <f t="shared" si="119"/>
        <v>0</v>
      </c>
      <c r="AA953" s="1">
        <f t="shared" si="120"/>
        <v>0</v>
      </c>
    </row>
    <row r="954" spans="2:27" x14ac:dyDescent="0.3">
      <c r="B954" s="12"/>
      <c r="J954" s="13"/>
      <c r="T954" s="1">
        <f t="shared" si="113"/>
        <v>0</v>
      </c>
      <c r="U954" s="1">
        <f t="shared" si="114"/>
        <v>0</v>
      </c>
      <c r="V954" s="1">
        <f t="shared" si="115"/>
        <v>0</v>
      </c>
      <c r="W954" s="1">
        <f t="shared" si="116"/>
        <v>0</v>
      </c>
      <c r="X954" s="1">
        <f t="shared" si="117"/>
        <v>0</v>
      </c>
      <c r="Y954" s="1">
        <f t="shared" si="118"/>
        <v>0</v>
      </c>
      <c r="Z954" s="1">
        <f t="shared" si="119"/>
        <v>0</v>
      </c>
      <c r="AA954" s="1">
        <f t="shared" si="120"/>
        <v>0</v>
      </c>
    </row>
    <row r="955" spans="2:27" x14ac:dyDescent="0.3">
      <c r="B955" s="12"/>
      <c r="J955" s="13"/>
      <c r="T955" s="1">
        <f t="shared" si="113"/>
        <v>0</v>
      </c>
      <c r="U955" s="1">
        <f t="shared" si="114"/>
        <v>0</v>
      </c>
      <c r="V955" s="1">
        <f t="shared" si="115"/>
        <v>0</v>
      </c>
      <c r="W955" s="1">
        <f t="shared" si="116"/>
        <v>0</v>
      </c>
      <c r="X955" s="1">
        <f t="shared" si="117"/>
        <v>0</v>
      </c>
      <c r="Y955" s="1">
        <f t="shared" si="118"/>
        <v>0</v>
      </c>
      <c r="Z955" s="1">
        <f t="shared" si="119"/>
        <v>0</v>
      </c>
      <c r="AA955" s="1">
        <f t="shared" si="120"/>
        <v>0</v>
      </c>
    </row>
    <row r="956" spans="2:27" x14ac:dyDescent="0.3">
      <c r="B956" s="12"/>
      <c r="J956" s="13"/>
      <c r="T956" s="1">
        <f t="shared" si="113"/>
        <v>0</v>
      </c>
      <c r="U956" s="1">
        <f t="shared" si="114"/>
        <v>0</v>
      </c>
      <c r="V956" s="1">
        <f t="shared" si="115"/>
        <v>0</v>
      </c>
      <c r="W956" s="1">
        <f t="shared" si="116"/>
        <v>0</v>
      </c>
      <c r="X956" s="1">
        <f t="shared" si="117"/>
        <v>0</v>
      </c>
      <c r="Y956" s="1">
        <f t="shared" si="118"/>
        <v>0</v>
      </c>
      <c r="Z956" s="1">
        <f t="shared" si="119"/>
        <v>0</v>
      </c>
      <c r="AA956" s="1">
        <f t="shared" si="120"/>
        <v>0</v>
      </c>
    </row>
    <row r="957" spans="2:27" x14ac:dyDescent="0.3">
      <c r="B957" s="12"/>
      <c r="J957" s="13"/>
      <c r="T957" s="1">
        <f t="shared" si="113"/>
        <v>0</v>
      </c>
      <c r="U957" s="1">
        <f t="shared" si="114"/>
        <v>0</v>
      </c>
      <c r="V957" s="1">
        <f t="shared" si="115"/>
        <v>0</v>
      </c>
      <c r="W957" s="1">
        <f t="shared" si="116"/>
        <v>0</v>
      </c>
      <c r="X957" s="1">
        <f t="shared" si="117"/>
        <v>0</v>
      </c>
      <c r="Y957" s="1">
        <f t="shared" si="118"/>
        <v>0</v>
      </c>
      <c r="Z957" s="1">
        <f t="shared" si="119"/>
        <v>0</v>
      </c>
      <c r="AA957" s="1">
        <f t="shared" si="120"/>
        <v>0</v>
      </c>
    </row>
    <row r="958" spans="2:27" x14ac:dyDescent="0.3">
      <c r="B958" s="12"/>
      <c r="J958" s="13"/>
      <c r="T958" s="1">
        <f t="shared" si="113"/>
        <v>0</v>
      </c>
      <c r="U958" s="1">
        <f t="shared" si="114"/>
        <v>0</v>
      </c>
      <c r="V958" s="1">
        <f t="shared" si="115"/>
        <v>0</v>
      </c>
      <c r="W958" s="1">
        <f t="shared" si="116"/>
        <v>0</v>
      </c>
      <c r="X958" s="1">
        <f t="shared" si="117"/>
        <v>0</v>
      </c>
      <c r="Y958" s="1">
        <f t="shared" si="118"/>
        <v>0</v>
      </c>
      <c r="Z958" s="1">
        <f t="shared" si="119"/>
        <v>0</v>
      </c>
      <c r="AA958" s="1">
        <f t="shared" si="120"/>
        <v>0</v>
      </c>
    </row>
    <row r="959" spans="2:27" x14ac:dyDescent="0.3">
      <c r="B959" s="12"/>
      <c r="J959" s="13"/>
      <c r="T959" s="1">
        <f t="shared" si="113"/>
        <v>0</v>
      </c>
      <c r="U959" s="1">
        <f t="shared" si="114"/>
        <v>0</v>
      </c>
      <c r="V959" s="1">
        <f t="shared" si="115"/>
        <v>0</v>
      </c>
      <c r="W959" s="1">
        <f t="shared" si="116"/>
        <v>0</v>
      </c>
      <c r="X959" s="1">
        <f t="shared" si="117"/>
        <v>0</v>
      </c>
      <c r="Y959" s="1">
        <f t="shared" si="118"/>
        <v>0</v>
      </c>
      <c r="Z959" s="1">
        <f t="shared" si="119"/>
        <v>0</v>
      </c>
      <c r="AA959" s="1">
        <f t="shared" si="120"/>
        <v>0</v>
      </c>
    </row>
    <row r="960" spans="2:27" x14ac:dyDescent="0.3">
      <c r="B960" s="12"/>
      <c r="J960" s="13"/>
      <c r="T960" s="1">
        <f t="shared" si="113"/>
        <v>0</v>
      </c>
      <c r="U960" s="1">
        <f t="shared" si="114"/>
        <v>0</v>
      </c>
      <c r="V960" s="1">
        <f t="shared" si="115"/>
        <v>0</v>
      </c>
      <c r="W960" s="1">
        <f t="shared" si="116"/>
        <v>0</v>
      </c>
      <c r="X960" s="1">
        <f t="shared" si="117"/>
        <v>0</v>
      </c>
      <c r="Y960" s="1">
        <f t="shared" si="118"/>
        <v>0</v>
      </c>
      <c r="Z960" s="1">
        <f t="shared" si="119"/>
        <v>0</v>
      </c>
      <c r="AA960" s="1">
        <f t="shared" si="120"/>
        <v>0</v>
      </c>
    </row>
    <row r="961" spans="2:27" x14ac:dyDescent="0.3">
      <c r="B961" s="12"/>
      <c r="J961" s="13"/>
      <c r="T961" s="1">
        <f t="shared" si="113"/>
        <v>0</v>
      </c>
      <c r="U961" s="1">
        <f t="shared" si="114"/>
        <v>0</v>
      </c>
      <c r="V961" s="1">
        <f t="shared" si="115"/>
        <v>0</v>
      </c>
      <c r="W961" s="1">
        <f t="shared" si="116"/>
        <v>0</v>
      </c>
      <c r="X961" s="1">
        <f t="shared" si="117"/>
        <v>0</v>
      </c>
      <c r="Y961" s="1">
        <f t="shared" si="118"/>
        <v>0</v>
      </c>
      <c r="Z961" s="1">
        <f t="shared" si="119"/>
        <v>0</v>
      </c>
      <c r="AA961" s="1">
        <f t="shared" si="120"/>
        <v>0</v>
      </c>
    </row>
    <row r="962" spans="2:27" x14ac:dyDescent="0.3">
      <c r="B962" s="12"/>
      <c r="J962" s="13"/>
      <c r="T962" s="1">
        <f t="shared" si="113"/>
        <v>0</v>
      </c>
      <c r="U962" s="1">
        <f t="shared" si="114"/>
        <v>0</v>
      </c>
      <c r="V962" s="1">
        <f t="shared" si="115"/>
        <v>0</v>
      </c>
      <c r="W962" s="1">
        <f t="shared" si="116"/>
        <v>0</v>
      </c>
      <c r="X962" s="1">
        <f t="shared" si="117"/>
        <v>0</v>
      </c>
      <c r="Y962" s="1">
        <f t="shared" si="118"/>
        <v>0</v>
      </c>
      <c r="Z962" s="1">
        <f t="shared" si="119"/>
        <v>0</v>
      </c>
      <c r="AA962" s="1">
        <f t="shared" si="120"/>
        <v>0</v>
      </c>
    </row>
    <row r="963" spans="2:27" x14ac:dyDescent="0.3">
      <c r="B963" s="12"/>
      <c r="J963" s="13"/>
      <c r="T963" s="1">
        <f t="shared" si="113"/>
        <v>0</v>
      </c>
      <c r="U963" s="1">
        <f t="shared" si="114"/>
        <v>0</v>
      </c>
      <c r="V963" s="1">
        <f t="shared" si="115"/>
        <v>0</v>
      </c>
      <c r="W963" s="1">
        <f t="shared" si="116"/>
        <v>0</v>
      </c>
      <c r="X963" s="1">
        <f t="shared" si="117"/>
        <v>0</v>
      </c>
      <c r="Y963" s="1">
        <f t="shared" si="118"/>
        <v>0</v>
      </c>
      <c r="Z963" s="1">
        <f t="shared" si="119"/>
        <v>0</v>
      </c>
      <c r="AA963" s="1">
        <f t="shared" si="120"/>
        <v>0</v>
      </c>
    </row>
    <row r="964" spans="2:27" x14ac:dyDescent="0.3">
      <c r="B964" s="12"/>
      <c r="J964" s="13"/>
      <c r="T964" s="1">
        <f t="shared" si="113"/>
        <v>0</v>
      </c>
      <c r="U964" s="1">
        <f t="shared" si="114"/>
        <v>0</v>
      </c>
      <c r="V964" s="1">
        <f t="shared" si="115"/>
        <v>0</v>
      </c>
      <c r="W964" s="1">
        <f t="shared" si="116"/>
        <v>0</v>
      </c>
      <c r="X964" s="1">
        <f t="shared" si="117"/>
        <v>0</v>
      </c>
      <c r="Y964" s="1">
        <f t="shared" si="118"/>
        <v>0</v>
      </c>
      <c r="Z964" s="1">
        <f t="shared" si="119"/>
        <v>0</v>
      </c>
      <c r="AA964" s="1">
        <f t="shared" si="120"/>
        <v>0</v>
      </c>
    </row>
    <row r="965" spans="2:27" x14ac:dyDescent="0.3">
      <c r="B965" s="12"/>
      <c r="J965" s="13"/>
      <c r="T965" s="1">
        <f t="shared" si="113"/>
        <v>0</v>
      </c>
      <c r="U965" s="1">
        <f t="shared" si="114"/>
        <v>0</v>
      </c>
      <c r="V965" s="1">
        <f t="shared" si="115"/>
        <v>0</v>
      </c>
      <c r="W965" s="1">
        <f t="shared" si="116"/>
        <v>0</v>
      </c>
      <c r="X965" s="1">
        <f t="shared" si="117"/>
        <v>0</v>
      </c>
      <c r="Y965" s="1">
        <f t="shared" si="118"/>
        <v>0</v>
      </c>
      <c r="Z965" s="1">
        <f t="shared" si="119"/>
        <v>0</v>
      </c>
      <c r="AA965" s="1">
        <f t="shared" si="120"/>
        <v>0</v>
      </c>
    </row>
    <row r="966" spans="2:27" x14ac:dyDescent="0.3">
      <c r="B966" s="12"/>
      <c r="J966" s="13"/>
      <c r="T966" s="1">
        <f t="shared" si="113"/>
        <v>0</v>
      </c>
      <c r="U966" s="1">
        <f t="shared" si="114"/>
        <v>0</v>
      </c>
      <c r="V966" s="1">
        <f t="shared" si="115"/>
        <v>0</v>
      </c>
      <c r="W966" s="1">
        <f t="shared" si="116"/>
        <v>0</v>
      </c>
      <c r="X966" s="1">
        <f t="shared" si="117"/>
        <v>0</v>
      </c>
      <c r="Y966" s="1">
        <f t="shared" si="118"/>
        <v>0</v>
      </c>
      <c r="Z966" s="1">
        <f t="shared" si="119"/>
        <v>0</v>
      </c>
      <c r="AA966" s="1">
        <f t="shared" si="120"/>
        <v>0</v>
      </c>
    </row>
    <row r="967" spans="2:27" x14ac:dyDescent="0.3">
      <c r="B967" s="12"/>
      <c r="J967" s="13"/>
      <c r="T967" s="1">
        <f t="shared" ref="T967:T1030" si="121">IF(AND(G967="-"),0,G967*F967)</f>
        <v>0</v>
      </c>
      <c r="U967" s="1">
        <f t="shared" ref="U967:U1030" si="122">IF(AND(O967="-"),0,O967*N967)</f>
        <v>0</v>
      </c>
      <c r="V967" s="1">
        <f t="shared" ref="V967:V1030" si="123">IFERROR(C967*H967,0)</f>
        <v>0</v>
      </c>
      <c r="W967" s="1">
        <f t="shared" ref="W967:W1030" si="124">IFERROR(K967*P967,0)</f>
        <v>0</v>
      </c>
      <c r="X967" s="1">
        <f t="shared" ref="X967:X1030" si="125">IFERROR(G967*1,0)</f>
        <v>0</v>
      </c>
      <c r="Y967" s="1">
        <f t="shared" ref="Y967:Y1030" si="126">IFERROR(O967*1,0)</f>
        <v>0</v>
      </c>
      <c r="Z967" s="1">
        <f t="shared" ref="Z967:Z1030" si="127">IFERROR(H967*1,0)</f>
        <v>0</v>
      </c>
      <c r="AA967" s="1">
        <f t="shared" ref="AA967:AA1030" si="128">IFERROR(P967*1,0)</f>
        <v>0</v>
      </c>
    </row>
    <row r="968" spans="2:27" x14ac:dyDescent="0.3">
      <c r="B968" s="12"/>
      <c r="J968" s="13"/>
      <c r="T968" s="1">
        <f t="shared" si="121"/>
        <v>0</v>
      </c>
      <c r="U968" s="1">
        <f t="shared" si="122"/>
        <v>0</v>
      </c>
      <c r="V968" s="1">
        <f t="shared" si="123"/>
        <v>0</v>
      </c>
      <c r="W968" s="1">
        <f t="shared" si="124"/>
        <v>0</v>
      </c>
      <c r="X968" s="1">
        <f t="shared" si="125"/>
        <v>0</v>
      </c>
      <c r="Y968" s="1">
        <f t="shared" si="126"/>
        <v>0</v>
      </c>
      <c r="Z968" s="1">
        <f t="shared" si="127"/>
        <v>0</v>
      </c>
      <c r="AA968" s="1">
        <f t="shared" si="128"/>
        <v>0</v>
      </c>
    </row>
    <row r="969" spans="2:27" x14ac:dyDescent="0.3">
      <c r="B969" s="12"/>
      <c r="J969" s="13"/>
      <c r="T969" s="1">
        <f t="shared" si="121"/>
        <v>0</v>
      </c>
      <c r="U969" s="1">
        <f t="shared" si="122"/>
        <v>0</v>
      </c>
      <c r="V969" s="1">
        <f t="shared" si="123"/>
        <v>0</v>
      </c>
      <c r="W969" s="1">
        <f t="shared" si="124"/>
        <v>0</v>
      </c>
      <c r="X969" s="1">
        <f t="shared" si="125"/>
        <v>0</v>
      </c>
      <c r="Y969" s="1">
        <f t="shared" si="126"/>
        <v>0</v>
      </c>
      <c r="Z969" s="1">
        <f t="shared" si="127"/>
        <v>0</v>
      </c>
      <c r="AA969" s="1">
        <f t="shared" si="128"/>
        <v>0</v>
      </c>
    </row>
    <row r="970" spans="2:27" x14ac:dyDescent="0.3">
      <c r="B970" s="12"/>
      <c r="J970" s="13"/>
      <c r="T970" s="1">
        <f t="shared" si="121"/>
        <v>0</v>
      </c>
      <c r="U970" s="1">
        <f t="shared" si="122"/>
        <v>0</v>
      </c>
      <c r="V970" s="1">
        <f t="shared" si="123"/>
        <v>0</v>
      </c>
      <c r="W970" s="1">
        <f t="shared" si="124"/>
        <v>0</v>
      </c>
      <c r="X970" s="1">
        <f t="shared" si="125"/>
        <v>0</v>
      </c>
      <c r="Y970" s="1">
        <f t="shared" si="126"/>
        <v>0</v>
      </c>
      <c r="Z970" s="1">
        <f t="shared" si="127"/>
        <v>0</v>
      </c>
      <c r="AA970" s="1">
        <f t="shared" si="128"/>
        <v>0</v>
      </c>
    </row>
    <row r="971" spans="2:27" x14ac:dyDescent="0.3">
      <c r="B971" s="12"/>
      <c r="J971" s="13"/>
      <c r="T971" s="1">
        <f t="shared" si="121"/>
        <v>0</v>
      </c>
      <c r="U971" s="1">
        <f t="shared" si="122"/>
        <v>0</v>
      </c>
      <c r="V971" s="1">
        <f t="shared" si="123"/>
        <v>0</v>
      </c>
      <c r="W971" s="1">
        <f t="shared" si="124"/>
        <v>0</v>
      </c>
      <c r="X971" s="1">
        <f t="shared" si="125"/>
        <v>0</v>
      </c>
      <c r="Y971" s="1">
        <f t="shared" si="126"/>
        <v>0</v>
      </c>
      <c r="Z971" s="1">
        <f t="shared" si="127"/>
        <v>0</v>
      </c>
      <c r="AA971" s="1">
        <f t="shared" si="128"/>
        <v>0</v>
      </c>
    </row>
    <row r="972" spans="2:27" x14ac:dyDescent="0.3">
      <c r="B972" s="12"/>
      <c r="J972" s="13"/>
      <c r="T972" s="1">
        <f t="shared" si="121"/>
        <v>0</v>
      </c>
      <c r="U972" s="1">
        <f t="shared" si="122"/>
        <v>0</v>
      </c>
      <c r="V972" s="1">
        <f t="shared" si="123"/>
        <v>0</v>
      </c>
      <c r="W972" s="1">
        <f t="shared" si="124"/>
        <v>0</v>
      </c>
      <c r="X972" s="1">
        <f t="shared" si="125"/>
        <v>0</v>
      </c>
      <c r="Y972" s="1">
        <f t="shared" si="126"/>
        <v>0</v>
      </c>
      <c r="Z972" s="1">
        <f t="shared" si="127"/>
        <v>0</v>
      </c>
      <c r="AA972" s="1">
        <f t="shared" si="128"/>
        <v>0</v>
      </c>
    </row>
    <row r="973" spans="2:27" x14ac:dyDescent="0.3">
      <c r="B973" s="12"/>
      <c r="J973" s="13"/>
      <c r="T973" s="1">
        <f t="shared" si="121"/>
        <v>0</v>
      </c>
      <c r="U973" s="1">
        <f t="shared" si="122"/>
        <v>0</v>
      </c>
      <c r="V973" s="1">
        <f t="shared" si="123"/>
        <v>0</v>
      </c>
      <c r="W973" s="1">
        <f t="shared" si="124"/>
        <v>0</v>
      </c>
      <c r="X973" s="1">
        <f t="shared" si="125"/>
        <v>0</v>
      </c>
      <c r="Y973" s="1">
        <f t="shared" si="126"/>
        <v>0</v>
      </c>
      <c r="Z973" s="1">
        <f t="shared" si="127"/>
        <v>0</v>
      </c>
      <c r="AA973" s="1">
        <f t="shared" si="128"/>
        <v>0</v>
      </c>
    </row>
    <row r="974" spans="2:27" x14ac:dyDescent="0.3">
      <c r="B974" s="12"/>
      <c r="J974" s="13"/>
      <c r="T974" s="1">
        <f t="shared" si="121"/>
        <v>0</v>
      </c>
      <c r="U974" s="1">
        <f t="shared" si="122"/>
        <v>0</v>
      </c>
      <c r="V974" s="1">
        <f t="shared" si="123"/>
        <v>0</v>
      </c>
      <c r="W974" s="1">
        <f t="shared" si="124"/>
        <v>0</v>
      </c>
      <c r="X974" s="1">
        <f t="shared" si="125"/>
        <v>0</v>
      </c>
      <c r="Y974" s="1">
        <f t="shared" si="126"/>
        <v>0</v>
      </c>
      <c r="Z974" s="1">
        <f t="shared" si="127"/>
        <v>0</v>
      </c>
      <c r="AA974" s="1">
        <f t="shared" si="128"/>
        <v>0</v>
      </c>
    </row>
    <row r="975" spans="2:27" x14ac:dyDescent="0.3">
      <c r="B975" s="12"/>
      <c r="J975" s="13"/>
      <c r="T975" s="1">
        <f t="shared" si="121"/>
        <v>0</v>
      </c>
      <c r="U975" s="1">
        <f t="shared" si="122"/>
        <v>0</v>
      </c>
      <c r="V975" s="1">
        <f t="shared" si="123"/>
        <v>0</v>
      </c>
      <c r="W975" s="1">
        <f t="shared" si="124"/>
        <v>0</v>
      </c>
      <c r="X975" s="1">
        <f t="shared" si="125"/>
        <v>0</v>
      </c>
      <c r="Y975" s="1">
        <f t="shared" si="126"/>
        <v>0</v>
      </c>
      <c r="Z975" s="1">
        <f t="shared" si="127"/>
        <v>0</v>
      </c>
      <c r="AA975" s="1">
        <f t="shared" si="128"/>
        <v>0</v>
      </c>
    </row>
    <row r="976" spans="2:27" x14ac:dyDescent="0.3">
      <c r="B976" s="12"/>
      <c r="J976" s="13"/>
      <c r="T976" s="1">
        <f t="shared" si="121"/>
        <v>0</v>
      </c>
      <c r="U976" s="1">
        <f t="shared" si="122"/>
        <v>0</v>
      </c>
      <c r="V976" s="1">
        <f t="shared" si="123"/>
        <v>0</v>
      </c>
      <c r="W976" s="1">
        <f t="shared" si="124"/>
        <v>0</v>
      </c>
      <c r="X976" s="1">
        <f t="shared" si="125"/>
        <v>0</v>
      </c>
      <c r="Y976" s="1">
        <f t="shared" si="126"/>
        <v>0</v>
      </c>
      <c r="Z976" s="1">
        <f t="shared" si="127"/>
        <v>0</v>
      </c>
      <c r="AA976" s="1">
        <f t="shared" si="128"/>
        <v>0</v>
      </c>
    </row>
    <row r="977" spans="2:27" x14ac:dyDescent="0.3">
      <c r="B977" s="12"/>
      <c r="J977" s="13"/>
      <c r="T977" s="1">
        <f t="shared" si="121"/>
        <v>0</v>
      </c>
      <c r="U977" s="1">
        <f t="shared" si="122"/>
        <v>0</v>
      </c>
      <c r="V977" s="1">
        <f t="shared" si="123"/>
        <v>0</v>
      </c>
      <c r="W977" s="1">
        <f t="shared" si="124"/>
        <v>0</v>
      </c>
      <c r="X977" s="1">
        <f t="shared" si="125"/>
        <v>0</v>
      </c>
      <c r="Y977" s="1">
        <f t="shared" si="126"/>
        <v>0</v>
      </c>
      <c r="Z977" s="1">
        <f t="shared" si="127"/>
        <v>0</v>
      </c>
      <c r="AA977" s="1">
        <f t="shared" si="128"/>
        <v>0</v>
      </c>
    </row>
    <row r="978" spans="2:27" x14ac:dyDescent="0.3">
      <c r="B978" s="12"/>
      <c r="J978" s="13"/>
      <c r="T978" s="1">
        <f t="shared" si="121"/>
        <v>0</v>
      </c>
      <c r="U978" s="1">
        <f t="shared" si="122"/>
        <v>0</v>
      </c>
      <c r="V978" s="1">
        <f t="shared" si="123"/>
        <v>0</v>
      </c>
      <c r="W978" s="1">
        <f t="shared" si="124"/>
        <v>0</v>
      </c>
      <c r="X978" s="1">
        <f t="shared" si="125"/>
        <v>0</v>
      </c>
      <c r="Y978" s="1">
        <f t="shared" si="126"/>
        <v>0</v>
      </c>
      <c r="Z978" s="1">
        <f t="shared" si="127"/>
        <v>0</v>
      </c>
      <c r="AA978" s="1">
        <f t="shared" si="128"/>
        <v>0</v>
      </c>
    </row>
    <row r="979" spans="2:27" x14ac:dyDescent="0.3">
      <c r="B979" s="12"/>
      <c r="J979" s="13"/>
      <c r="T979" s="1">
        <f t="shared" si="121"/>
        <v>0</v>
      </c>
      <c r="U979" s="1">
        <f t="shared" si="122"/>
        <v>0</v>
      </c>
      <c r="V979" s="1">
        <f t="shared" si="123"/>
        <v>0</v>
      </c>
      <c r="W979" s="1">
        <f t="shared" si="124"/>
        <v>0</v>
      </c>
      <c r="X979" s="1">
        <f t="shared" si="125"/>
        <v>0</v>
      </c>
      <c r="Y979" s="1">
        <f t="shared" si="126"/>
        <v>0</v>
      </c>
      <c r="Z979" s="1">
        <f t="shared" si="127"/>
        <v>0</v>
      </c>
      <c r="AA979" s="1">
        <f t="shared" si="128"/>
        <v>0</v>
      </c>
    </row>
    <row r="980" spans="2:27" x14ac:dyDescent="0.3">
      <c r="B980" s="12"/>
      <c r="J980" s="13"/>
      <c r="T980" s="1">
        <f t="shared" si="121"/>
        <v>0</v>
      </c>
      <c r="U980" s="1">
        <f t="shared" si="122"/>
        <v>0</v>
      </c>
      <c r="V980" s="1">
        <f t="shared" si="123"/>
        <v>0</v>
      </c>
      <c r="W980" s="1">
        <f t="shared" si="124"/>
        <v>0</v>
      </c>
      <c r="X980" s="1">
        <f t="shared" si="125"/>
        <v>0</v>
      </c>
      <c r="Y980" s="1">
        <f t="shared" si="126"/>
        <v>0</v>
      </c>
      <c r="Z980" s="1">
        <f t="shared" si="127"/>
        <v>0</v>
      </c>
      <c r="AA980" s="1">
        <f t="shared" si="128"/>
        <v>0</v>
      </c>
    </row>
    <row r="981" spans="2:27" x14ac:dyDescent="0.3">
      <c r="B981" s="12"/>
      <c r="J981" s="13"/>
      <c r="T981" s="1">
        <f t="shared" si="121"/>
        <v>0</v>
      </c>
      <c r="U981" s="1">
        <f t="shared" si="122"/>
        <v>0</v>
      </c>
      <c r="V981" s="1">
        <f t="shared" si="123"/>
        <v>0</v>
      </c>
      <c r="W981" s="1">
        <f t="shared" si="124"/>
        <v>0</v>
      </c>
      <c r="X981" s="1">
        <f t="shared" si="125"/>
        <v>0</v>
      </c>
      <c r="Y981" s="1">
        <f t="shared" si="126"/>
        <v>0</v>
      </c>
      <c r="Z981" s="1">
        <f t="shared" si="127"/>
        <v>0</v>
      </c>
      <c r="AA981" s="1">
        <f t="shared" si="128"/>
        <v>0</v>
      </c>
    </row>
    <row r="982" spans="2:27" x14ac:dyDescent="0.3">
      <c r="B982" s="12"/>
      <c r="J982" s="13"/>
      <c r="T982" s="1">
        <f t="shared" si="121"/>
        <v>0</v>
      </c>
      <c r="U982" s="1">
        <f t="shared" si="122"/>
        <v>0</v>
      </c>
      <c r="V982" s="1">
        <f t="shared" si="123"/>
        <v>0</v>
      </c>
      <c r="W982" s="1">
        <f t="shared" si="124"/>
        <v>0</v>
      </c>
      <c r="X982" s="1">
        <f t="shared" si="125"/>
        <v>0</v>
      </c>
      <c r="Y982" s="1">
        <f t="shared" si="126"/>
        <v>0</v>
      </c>
      <c r="Z982" s="1">
        <f t="shared" si="127"/>
        <v>0</v>
      </c>
      <c r="AA982" s="1">
        <f t="shared" si="128"/>
        <v>0</v>
      </c>
    </row>
    <row r="983" spans="2:27" x14ac:dyDescent="0.3">
      <c r="B983" s="12"/>
      <c r="J983" s="13"/>
      <c r="T983" s="1">
        <f t="shared" si="121"/>
        <v>0</v>
      </c>
      <c r="U983" s="1">
        <f t="shared" si="122"/>
        <v>0</v>
      </c>
      <c r="V983" s="1">
        <f t="shared" si="123"/>
        <v>0</v>
      </c>
      <c r="W983" s="1">
        <f t="shared" si="124"/>
        <v>0</v>
      </c>
      <c r="X983" s="1">
        <f t="shared" si="125"/>
        <v>0</v>
      </c>
      <c r="Y983" s="1">
        <f t="shared" si="126"/>
        <v>0</v>
      </c>
      <c r="Z983" s="1">
        <f t="shared" si="127"/>
        <v>0</v>
      </c>
      <c r="AA983" s="1">
        <f t="shared" si="128"/>
        <v>0</v>
      </c>
    </row>
    <row r="984" spans="2:27" x14ac:dyDescent="0.3">
      <c r="B984" s="12"/>
      <c r="J984" s="13"/>
      <c r="T984" s="1">
        <f t="shared" si="121"/>
        <v>0</v>
      </c>
      <c r="U984" s="1">
        <f t="shared" si="122"/>
        <v>0</v>
      </c>
      <c r="V984" s="1">
        <f t="shared" si="123"/>
        <v>0</v>
      </c>
      <c r="W984" s="1">
        <f t="shared" si="124"/>
        <v>0</v>
      </c>
      <c r="X984" s="1">
        <f t="shared" si="125"/>
        <v>0</v>
      </c>
      <c r="Y984" s="1">
        <f t="shared" si="126"/>
        <v>0</v>
      </c>
      <c r="Z984" s="1">
        <f t="shared" si="127"/>
        <v>0</v>
      </c>
      <c r="AA984" s="1">
        <f t="shared" si="128"/>
        <v>0</v>
      </c>
    </row>
    <row r="985" spans="2:27" x14ac:dyDescent="0.3">
      <c r="B985" s="12"/>
      <c r="J985" s="13"/>
      <c r="T985" s="1">
        <f t="shared" si="121"/>
        <v>0</v>
      </c>
      <c r="U985" s="1">
        <f t="shared" si="122"/>
        <v>0</v>
      </c>
      <c r="V985" s="1">
        <f t="shared" si="123"/>
        <v>0</v>
      </c>
      <c r="W985" s="1">
        <f t="shared" si="124"/>
        <v>0</v>
      </c>
      <c r="X985" s="1">
        <f t="shared" si="125"/>
        <v>0</v>
      </c>
      <c r="Y985" s="1">
        <f t="shared" si="126"/>
        <v>0</v>
      </c>
      <c r="Z985" s="1">
        <f t="shared" si="127"/>
        <v>0</v>
      </c>
      <c r="AA985" s="1">
        <f t="shared" si="128"/>
        <v>0</v>
      </c>
    </row>
    <row r="986" spans="2:27" x14ac:dyDescent="0.3">
      <c r="B986" s="12"/>
      <c r="J986" s="13"/>
      <c r="T986" s="1">
        <f t="shared" si="121"/>
        <v>0</v>
      </c>
      <c r="U986" s="1">
        <f t="shared" si="122"/>
        <v>0</v>
      </c>
      <c r="V986" s="1">
        <f t="shared" si="123"/>
        <v>0</v>
      </c>
      <c r="W986" s="1">
        <f t="shared" si="124"/>
        <v>0</v>
      </c>
      <c r="X986" s="1">
        <f t="shared" si="125"/>
        <v>0</v>
      </c>
      <c r="Y986" s="1">
        <f t="shared" si="126"/>
        <v>0</v>
      </c>
      <c r="Z986" s="1">
        <f t="shared" si="127"/>
        <v>0</v>
      </c>
      <c r="AA986" s="1">
        <f t="shared" si="128"/>
        <v>0</v>
      </c>
    </row>
    <row r="987" spans="2:27" x14ac:dyDescent="0.3">
      <c r="B987" s="12"/>
      <c r="J987" s="13"/>
      <c r="T987" s="1">
        <f t="shared" si="121"/>
        <v>0</v>
      </c>
      <c r="U987" s="1">
        <f t="shared" si="122"/>
        <v>0</v>
      </c>
      <c r="V987" s="1">
        <f t="shared" si="123"/>
        <v>0</v>
      </c>
      <c r="W987" s="1">
        <f t="shared" si="124"/>
        <v>0</v>
      </c>
      <c r="X987" s="1">
        <f t="shared" si="125"/>
        <v>0</v>
      </c>
      <c r="Y987" s="1">
        <f t="shared" si="126"/>
        <v>0</v>
      </c>
      <c r="Z987" s="1">
        <f t="shared" si="127"/>
        <v>0</v>
      </c>
      <c r="AA987" s="1">
        <f t="shared" si="128"/>
        <v>0</v>
      </c>
    </row>
    <row r="988" spans="2:27" x14ac:dyDescent="0.3">
      <c r="B988" s="12"/>
      <c r="J988" s="13"/>
      <c r="T988" s="1">
        <f t="shared" si="121"/>
        <v>0</v>
      </c>
      <c r="U988" s="1">
        <f t="shared" si="122"/>
        <v>0</v>
      </c>
      <c r="V988" s="1">
        <f t="shared" si="123"/>
        <v>0</v>
      </c>
      <c r="W988" s="1">
        <f t="shared" si="124"/>
        <v>0</v>
      </c>
      <c r="X988" s="1">
        <f t="shared" si="125"/>
        <v>0</v>
      </c>
      <c r="Y988" s="1">
        <f t="shared" si="126"/>
        <v>0</v>
      </c>
      <c r="Z988" s="1">
        <f t="shared" si="127"/>
        <v>0</v>
      </c>
      <c r="AA988" s="1">
        <f t="shared" si="128"/>
        <v>0</v>
      </c>
    </row>
    <row r="989" spans="2:27" x14ac:dyDescent="0.3">
      <c r="B989" s="12"/>
      <c r="I989" s="14"/>
      <c r="J989" s="14"/>
      <c r="T989" s="1">
        <f t="shared" si="121"/>
        <v>0</v>
      </c>
      <c r="U989" s="1">
        <f t="shared" si="122"/>
        <v>0</v>
      </c>
      <c r="V989" s="1">
        <f t="shared" si="123"/>
        <v>0</v>
      </c>
      <c r="W989" s="1">
        <f t="shared" si="124"/>
        <v>0</v>
      </c>
      <c r="X989" s="1">
        <f t="shared" si="125"/>
        <v>0</v>
      </c>
      <c r="Y989" s="1">
        <f t="shared" si="126"/>
        <v>0</v>
      </c>
      <c r="Z989" s="1">
        <f t="shared" si="127"/>
        <v>0</v>
      </c>
      <c r="AA989" s="1">
        <f t="shared" si="128"/>
        <v>0</v>
      </c>
    </row>
    <row r="990" spans="2:27" x14ac:dyDescent="0.3">
      <c r="B990" s="12"/>
      <c r="I990" s="14"/>
      <c r="J990" s="14"/>
      <c r="T990" s="1">
        <f t="shared" si="121"/>
        <v>0</v>
      </c>
      <c r="U990" s="1">
        <f t="shared" si="122"/>
        <v>0</v>
      </c>
      <c r="V990" s="1">
        <f t="shared" si="123"/>
        <v>0</v>
      </c>
      <c r="W990" s="1">
        <f t="shared" si="124"/>
        <v>0</v>
      </c>
      <c r="X990" s="1">
        <f t="shared" si="125"/>
        <v>0</v>
      </c>
      <c r="Y990" s="1">
        <f t="shared" si="126"/>
        <v>0</v>
      </c>
      <c r="Z990" s="1">
        <f t="shared" si="127"/>
        <v>0</v>
      </c>
      <c r="AA990" s="1">
        <f t="shared" si="128"/>
        <v>0</v>
      </c>
    </row>
    <row r="991" spans="2:27" x14ac:dyDescent="0.3">
      <c r="B991" s="12"/>
      <c r="I991" s="14"/>
      <c r="J991" s="14"/>
      <c r="T991" s="1">
        <f t="shared" si="121"/>
        <v>0</v>
      </c>
      <c r="U991" s="1">
        <f t="shared" si="122"/>
        <v>0</v>
      </c>
      <c r="V991" s="1">
        <f t="shared" si="123"/>
        <v>0</v>
      </c>
      <c r="W991" s="1">
        <f t="shared" si="124"/>
        <v>0</v>
      </c>
      <c r="X991" s="1">
        <f t="shared" si="125"/>
        <v>0</v>
      </c>
      <c r="Y991" s="1">
        <f t="shared" si="126"/>
        <v>0</v>
      </c>
      <c r="Z991" s="1">
        <f t="shared" si="127"/>
        <v>0</v>
      </c>
      <c r="AA991" s="1">
        <f t="shared" si="128"/>
        <v>0</v>
      </c>
    </row>
    <row r="992" spans="2:27" x14ac:dyDescent="0.3">
      <c r="B992" s="12"/>
      <c r="I992" s="14"/>
      <c r="J992" s="14"/>
      <c r="T992" s="1">
        <f t="shared" si="121"/>
        <v>0</v>
      </c>
      <c r="U992" s="1">
        <f t="shared" si="122"/>
        <v>0</v>
      </c>
      <c r="V992" s="1">
        <f t="shared" si="123"/>
        <v>0</v>
      </c>
      <c r="W992" s="1">
        <f t="shared" si="124"/>
        <v>0</v>
      </c>
      <c r="X992" s="1">
        <f t="shared" si="125"/>
        <v>0</v>
      </c>
      <c r="Y992" s="1">
        <f t="shared" si="126"/>
        <v>0</v>
      </c>
      <c r="Z992" s="1">
        <f t="shared" si="127"/>
        <v>0</v>
      </c>
      <c r="AA992" s="1">
        <f t="shared" si="128"/>
        <v>0</v>
      </c>
    </row>
    <row r="993" spans="2:27" x14ac:dyDescent="0.3">
      <c r="B993" s="12"/>
      <c r="I993" s="14"/>
      <c r="J993" s="14"/>
      <c r="T993" s="1">
        <f t="shared" si="121"/>
        <v>0</v>
      </c>
      <c r="U993" s="1">
        <f t="shared" si="122"/>
        <v>0</v>
      </c>
      <c r="V993" s="1">
        <f t="shared" si="123"/>
        <v>0</v>
      </c>
      <c r="W993" s="1">
        <f t="shared" si="124"/>
        <v>0</v>
      </c>
      <c r="X993" s="1">
        <f t="shared" si="125"/>
        <v>0</v>
      </c>
      <c r="Y993" s="1">
        <f t="shared" si="126"/>
        <v>0</v>
      </c>
      <c r="Z993" s="1">
        <f t="shared" si="127"/>
        <v>0</v>
      </c>
      <c r="AA993" s="1">
        <f t="shared" si="128"/>
        <v>0</v>
      </c>
    </row>
    <row r="994" spans="2:27" x14ac:dyDescent="0.3">
      <c r="B994" s="12"/>
      <c r="I994" s="14"/>
      <c r="J994" s="14"/>
      <c r="T994" s="1">
        <f t="shared" si="121"/>
        <v>0</v>
      </c>
      <c r="U994" s="1">
        <f t="shared" si="122"/>
        <v>0</v>
      </c>
      <c r="V994" s="1">
        <f t="shared" si="123"/>
        <v>0</v>
      </c>
      <c r="W994" s="1">
        <f t="shared" si="124"/>
        <v>0</v>
      </c>
      <c r="X994" s="1">
        <f t="shared" si="125"/>
        <v>0</v>
      </c>
      <c r="Y994" s="1">
        <f t="shared" si="126"/>
        <v>0</v>
      </c>
      <c r="Z994" s="1">
        <f t="shared" si="127"/>
        <v>0</v>
      </c>
      <c r="AA994" s="1">
        <f t="shared" si="128"/>
        <v>0</v>
      </c>
    </row>
    <row r="995" spans="2:27" x14ac:dyDescent="0.3">
      <c r="B995" s="13"/>
      <c r="J995" s="13"/>
      <c r="T995" s="1">
        <f t="shared" si="121"/>
        <v>0</v>
      </c>
      <c r="U995" s="1">
        <f t="shared" si="122"/>
        <v>0</v>
      </c>
      <c r="V995" s="1">
        <f t="shared" si="123"/>
        <v>0</v>
      </c>
      <c r="W995" s="1">
        <f t="shared" si="124"/>
        <v>0</v>
      </c>
      <c r="X995" s="1">
        <f t="shared" si="125"/>
        <v>0</v>
      </c>
      <c r="Y995" s="1">
        <f t="shared" si="126"/>
        <v>0</v>
      </c>
      <c r="Z995" s="1">
        <f t="shared" si="127"/>
        <v>0</v>
      </c>
      <c r="AA995" s="1">
        <f t="shared" si="128"/>
        <v>0</v>
      </c>
    </row>
    <row r="996" spans="2:27" x14ac:dyDescent="0.3">
      <c r="B996" s="12"/>
      <c r="J996" s="13"/>
      <c r="T996" s="1">
        <f t="shared" si="121"/>
        <v>0</v>
      </c>
      <c r="U996" s="1">
        <f t="shared" si="122"/>
        <v>0</v>
      </c>
      <c r="V996" s="1">
        <f t="shared" si="123"/>
        <v>0</v>
      </c>
      <c r="W996" s="1">
        <f t="shared" si="124"/>
        <v>0</v>
      </c>
      <c r="X996" s="1">
        <f t="shared" si="125"/>
        <v>0</v>
      </c>
      <c r="Y996" s="1">
        <f t="shared" si="126"/>
        <v>0</v>
      </c>
      <c r="Z996" s="1">
        <f t="shared" si="127"/>
        <v>0</v>
      </c>
      <c r="AA996" s="1">
        <f t="shared" si="128"/>
        <v>0</v>
      </c>
    </row>
    <row r="997" spans="2:27" x14ac:dyDescent="0.3">
      <c r="B997" s="13"/>
      <c r="J997" s="13"/>
      <c r="T997" s="1">
        <f t="shared" si="121"/>
        <v>0</v>
      </c>
      <c r="U997" s="1">
        <f t="shared" si="122"/>
        <v>0</v>
      </c>
      <c r="V997" s="1">
        <f t="shared" si="123"/>
        <v>0</v>
      </c>
      <c r="W997" s="1">
        <f t="shared" si="124"/>
        <v>0</v>
      </c>
      <c r="X997" s="1">
        <f t="shared" si="125"/>
        <v>0</v>
      </c>
      <c r="Y997" s="1">
        <f t="shared" si="126"/>
        <v>0</v>
      </c>
      <c r="Z997" s="1">
        <f t="shared" si="127"/>
        <v>0</v>
      </c>
      <c r="AA997" s="1">
        <f t="shared" si="128"/>
        <v>0</v>
      </c>
    </row>
    <row r="998" spans="2:27" x14ac:dyDescent="0.3">
      <c r="B998" s="12"/>
      <c r="J998" s="13"/>
      <c r="T998" s="1">
        <f t="shared" si="121"/>
        <v>0</v>
      </c>
      <c r="U998" s="1">
        <f t="shared" si="122"/>
        <v>0</v>
      </c>
      <c r="V998" s="1">
        <f t="shared" si="123"/>
        <v>0</v>
      </c>
      <c r="W998" s="1">
        <f t="shared" si="124"/>
        <v>0</v>
      </c>
      <c r="X998" s="1">
        <f t="shared" si="125"/>
        <v>0</v>
      </c>
      <c r="Y998" s="1">
        <f t="shared" si="126"/>
        <v>0</v>
      </c>
      <c r="Z998" s="1">
        <f t="shared" si="127"/>
        <v>0</v>
      </c>
      <c r="AA998" s="1">
        <f t="shared" si="128"/>
        <v>0</v>
      </c>
    </row>
    <row r="999" spans="2:27" x14ac:dyDescent="0.3">
      <c r="B999" s="12"/>
      <c r="J999" s="13"/>
      <c r="T999" s="1">
        <f t="shared" si="121"/>
        <v>0</v>
      </c>
      <c r="U999" s="1">
        <f t="shared" si="122"/>
        <v>0</v>
      </c>
      <c r="V999" s="1">
        <f t="shared" si="123"/>
        <v>0</v>
      </c>
      <c r="W999" s="1">
        <f t="shared" si="124"/>
        <v>0</v>
      </c>
      <c r="X999" s="1">
        <f t="shared" si="125"/>
        <v>0</v>
      </c>
      <c r="Y999" s="1">
        <f t="shared" si="126"/>
        <v>0</v>
      </c>
      <c r="Z999" s="1">
        <f t="shared" si="127"/>
        <v>0</v>
      </c>
      <c r="AA999" s="1">
        <f t="shared" si="128"/>
        <v>0</v>
      </c>
    </row>
    <row r="1000" spans="2:27" x14ac:dyDescent="0.3">
      <c r="B1000" s="12"/>
      <c r="J1000" s="13"/>
      <c r="T1000" s="1">
        <f t="shared" si="121"/>
        <v>0</v>
      </c>
      <c r="U1000" s="1">
        <f t="shared" si="122"/>
        <v>0</v>
      </c>
      <c r="V1000" s="1">
        <f t="shared" si="123"/>
        <v>0</v>
      </c>
      <c r="W1000" s="1">
        <f t="shared" si="124"/>
        <v>0</v>
      </c>
      <c r="X1000" s="1">
        <f t="shared" si="125"/>
        <v>0</v>
      </c>
      <c r="Y1000" s="1">
        <f t="shared" si="126"/>
        <v>0</v>
      </c>
      <c r="Z1000" s="1">
        <f t="shared" si="127"/>
        <v>0</v>
      </c>
      <c r="AA1000" s="1">
        <f t="shared" si="128"/>
        <v>0</v>
      </c>
    </row>
    <row r="1001" spans="2:27" x14ac:dyDescent="0.3">
      <c r="B1001" s="12"/>
      <c r="J1001" s="13"/>
      <c r="T1001" s="1">
        <f t="shared" si="121"/>
        <v>0</v>
      </c>
      <c r="U1001" s="1">
        <f t="shared" si="122"/>
        <v>0</v>
      </c>
      <c r="V1001" s="1">
        <f t="shared" si="123"/>
        <v>0</v>
      </c>
      <c r="W1001" s="1">
        <f t="shared" si="124"/>
        <v>0</v>
      </c>
      <c r="X1001" s="1">
        <f t="shared" si="125"/>
        <v>0</v>
      </c>
      <c r="Y1001" s="1">
        <f t="shared" si="126"/>
        <v>0</v>
      </c>
      <c r="Z1001" s="1">
        <f t="shared" si="127"/>
        <v>0</v>
      </c>
      <c r="AA1001" s="1">
        <f t="shared" si="128"/>
        <v>0</v>
      </c>
    </row>
    <row r="1002" spans="2:27" x14ac:dyDescent="0.3">
      <c r="B1002" s="12"/>
      <c r="J1002" s="13"/>
      <c r="T1002" s="1">
        <f t="shared" si="121"/>
        <v>0</v>
      </c>
      <c r="U1002" s="1">
        <f t="shared" si="122"/>
        <v>0</v>
      </c>
      <c r="V1002" s="1">
        <f t="shared" si="123"/>
        <v>0</v>
      </c>
      <c r="W1002" s="1">
        <f t="shared" si="124"/>
        <v>0</v>
      </c>
      <c r="X1002" s="1">
        <f t="shared" si="125"/>
        <v>0</v>
      </c>
      <c r="Y1002" s="1">
        <f t="shared" si="126"/>
        <v>0</v>
      </c>
      <c r="Z1002" s="1">
        <f t="shared" si="127"/>
        <v>0</v>
      </c>
      <c r="AA1002" s="1">
        <f t="shared" si="128"/>
        <v>0</v>
      </c>
    </row>
    <row r="1003" spans="2:27" x14ac:dyDescent="0.3">
      <c r="B1003" s="12"/>
      <c r="J1003" s="13"/>
      <c r="T1003" s="1">
        <f t="shared" si="121"/>
        <v>0</v>
      </c>
      <c r="U1003" s="1">
        <f t="shared" si="122"/>
        <v>0</v>
      </c>
      <c r="V1003" s="1">
        <f t="shared" si="123"/>
        <v>0</v>
      </c>
      <c r="W1003" s="1">
        <f t="shared" si="124"/>
        <v>0</v>
      </c>
      <c r="X1003" s="1">
        <f t="shared" si="125"/>
        <v>0</v>
      </c>
      <c r="Y1003" s="1">
        <f t="shared" si="126"/>
        <v>0</v>
      </c>
      <c r="Z1003" s="1">
        <f t="shared" si="127"/>
        <v>0</v>
      </c>
      <c r="AA1003" s="1">
        <f t="shared" si="128"/>
        <v>0</v>
      </c>
    </row>
    <row r="1004" spans="2:27" x14ac:dyDescent="0.3">
      <c r="B1004" s="12"/>
      <c r="J1004" s="13"/>
      <c r="T1004" s="1">
        <f t="shared" si="121"/>
        <v>0</v>
      </c>
      <c r="U1004" s="1">
        <f t="shared" si="122"/>
        <v>0</v>
      </c>
      <c r="V1004" s="1">
        <f t="shared" si="123"/>
        <v>0</v>
      </c>
      <c r="W1004" s="1">
        <f t="shared" si="124"/>
        <v>0</v>
      </c>
      <c r="X1004" s="1">
        <f t="shared" si="125"/>
        <v>0</v>
      </c>
      <c r="Y1004" s="1">
        <f t="shared" si="126"/>
        <v>0</v>
      </c>
      <c r="Z1004" s="1">
        <f t="shared" si="127"/>
        <v>0</v>
      </c>
      <c r="AA1004" s="1">
        <f t="shared" si="128"/>
        <v>0</v>
      </c>
    </row>
    <row r="1005" spans="2:27" x14ac:dyDescent="0.3">
      <c r="B1005" s="12"/>
      <c r="J1005" s="13"/>
      <c r="T1005" s="1">
        <f t="shared" si="121"/>
        <v>0</v>
      </c>
      <c r="U1005" s="1">
        <f t="shared" si="122"/>
        <v>0</v>
      </c>
      <c r="V1005" s="1">
        <f t="shared" si="123"/>
        <v>0</v>
      </c>
      <c r="W1005" s="1">
        <f t="shared" si="124"/>
        <v>0</v>
      </c>
      <c r="X1005" s="1">
        <f t="shared" si="125"/>
        <v>0</v>
      </c>
      <c r="Y1005" s="1">
        <f t="shared" si="126"/>
        <v>0</v>
      </c>
      <c r="Z1005" s="1">
        <f t="shared" si="127"/>
        <v>0</v>
      </c>
      <c r="AA1005" s="1">
        <f t="shared" si="128"/>
        <v>0</v>
      </c>
    </row>
    <row r="1006" spans="2:27" x14ac:dyDescent="0.3">
      <c r="B1006" s="12"/>
      <c r="J1006" s="13"/>
      <c r="T1006" s="1">
        <f t="shared" si="121"/>
        <v>0</v>
      </c>
      <c r="U1006" s="1">
        <f t="shared" si="122"/>
        <v>0</v>
      </c>
      <c r="V1006" s="1">
        <f t="shared" si="123"/>
        <v>0</v>
      </c>
      <c r="W1006" s="1">
        <f t="shared" si="124"/>
        <v>0</v>
      </c>
      <c r="X1006" s="1">
        <f t="shared" si="125"/>
        <v>0</v>
      </c>
      <c r="Y1006" s="1">
        <f t="shared" si="126"/>
        <v>0</v>
      </c>
      <c r="Z1006" s="1">
        <f t="shared" si="127"/>
        <v>0</v>
      </c>
      <c r="AA1006" s="1">
        <f t="shared" si="128"/>
        <v>0</v>
      </c>
    </row>
    <row r="1007" spans="2:27" x14ac:dyDescent="0.3">
      <c r="B1007" s="12"/>
      <c r="J1007" s="13"/>
      <c r="T1007" s="1">
        <f t="shared" si="121"/>
        <v>0</v>
      </c>
      <c r="U1007" s="1">
        <f t="shared" si="122"/>
        <v>0</v>
      </c>
      <c r="V1007" s="1">
        <f t="shared" si="123"/>
        <v>0</v>
      </c>
      <c r="W1007" s="1">
        <f t="shared" si="124"/>
        <v>0</v>
      </c>
      <c r="X1007" s="1">
        <f t="shared" si="125"/>
        <v>0</v>
      </c>
      <c r="Y1007" s="1">
        <f t="shared" si="126"/>
        <v>0</v>
      </c>
      <c r="Z1007" s="1">
        <f t="shared" si="127"/>
        <v>0</v>
      </c>
      <c r="AA1007" s="1">
        <f t="shared" si="128"/>
        <v>0</v>
      </c>
    </row>
    <row r="1008" spans="2:27" x14ac:dyDescent="0.3">
      <c r="B1008" s="12"/>
      <c r="J1008" s="13"/>
      <c r="T1008" s="1">
        <f t="shared" si="121"/>
        <v>0</v>
      </c>
      <c r="U1008" s="1">
        <f t="shared" si="122"/>
        <v>0</v>
      </c>
      <c r="V1008" s="1">
        <f t="shared" si="123"/>
        <v>0</v>
      </c>
      <c r="W1008" s="1">
        <f t="shared" si="124"/>
        <v>0</v>
      </c>
      <c r="X1008" s="1">
        <f t="shared" si="125"/>
        <v>0</v>
      </c>
      <c r="Y1008" s="1">
        <f t="shared" si="126"/>
        <v>0</v>
      </c>
      <c r="Z1008" s="1">
        <f t="shared" si="127"/>
        <v>0</v>
      </c>
      <c r="AA1008" s="1">
        <f t="shared" si="128"/>
        <v>0</v>
      </c>
    </row>
    <row r="1009" spans="2:27" x14ac:dyDescent="0.3">
      <c r="B1009" s="12"/>
      <c r="J1009" s="13"/>
      <c r="T1009" s="1">
        <f t="shared" si="121"/>
        <v>0</v>
      </c>
      <c r="U1009" s="1">
        <f t="shared" si="122"/>
        <v>0</v>
      </c>
      <c r="V1009" s="1">
        <f t="shared" si="123"/>
        <v>0</v>
      </c>
      <c r="W1009" s="1">
        <f t="shared" si="124"/>
        <v>0</v>
      </c>
      <c r="X1009" s="1">
        <f t="shared" si="125"/>
        <v>0</v>
      </c>
      <c r="Y1009" s="1">
        <f t="shared" si="126"/>
        <v>0</v>
      </c>
      <c r="Z1009" s="1">
        <f t="shared" si="127"/>
        <v>0</v>
      </c>
      <c r="AA1009" s="1">
        <f t="shared" si="128"/>
        <v>0</v>
      </c>
    </row>
    <row r="1010" spans="2:27" x14ac:dyDescent="0.3">
      <c r="B1010" s="12"/>
      <c r="J1010" s="13"/>
      <c r="T1010" s="1">
        <f t="shared" si="121"/>
        <v>0</v>
      </c>
      <c r="U1010" s="1">
        <f t="shared" si="122"/>
        <v>0</v>
      </c>
      <c r="V1010" s="1">
        <f t="shared" si="123"/>
        <v>0</v>
      </c>
      <c r="W1010" s="1">
        <f t="shared" si="124"/>
        <v>0</v>
      </c>
      <c r="X1010" s="1">
        <f t="shared" si="125"/>
        <v>0</v>
      </c>
      <c r="Y1010" s="1">
        <f t="shared" si="126"/>
        <v>0</v>
      </c>
      <c r="Z1010" s="1">
        <f t="shared" si="127"/>
        <v>0</v>
      </c>
      <c r="AA1010" s="1">
        <f t="shared" si="128"/>
        <v>0</v>
      </c>
    </row>
    <row r="1011" spans="2:27" x14ac:dyDescent="0.3">
      <c r="B1011" s="12"/>
      <c r="J1011" s="13"/>
      <c r="T1011" s="1">
        <f t="shared" si="121"/>
        <v>0</v>
      </c>
      <c r="U1011" s="1">
        <f t="shared" si="122"/>
        <v>0</v>
      </c>
      <c r="V1011" s="1">
        <f t="shared" si="123"/>
        <v>0</v>
      </c>
      <c r="W1011" s="1">
        <f t="shared" si="124"/>
        <v>0</v>
      </c>
      <c r="X1011" s="1">
        <f t="shared" si="125"/>
        <v>0</v>
      </c>
      <c r="Y1011" s="1">
        <f t="shared" si="126"/>
        <v>0</v>
      </c>
      <c r="Z1011" s="1">
        <f t="shared" si="127"/>
        <v>0</v>
      </c>
      <c r="AA1011" s="1">
        <f t="shared" si="128"/>
        <v>0</v>
      </c>
    </row>
    <row r="1012" spans="2:27" x14ac:dyDescent="0.3">
      <c r="B1012" s="12"/>
      <c r="J1012" s="13"/>
      <c r="T1012" s="1">
        <f t="shared" si="121"/>
        <v>0</v>
      </c>
      <c r="U1012" s="1">
        <f t="shared" si="122"/>
        <v>0</v>
      </c>
      <c r="V1012" s="1">
        <f t="shared" si="123"/>
        <v>0</v>
      </c>
      <c r="W1012" s="1">
        <f t="shared" si="124"/>
        <v>0</v>
      </c>
      <c r="X1012" s="1">
        <f t="shared" si="125"/>
        <v>0</v>
      </c>
      <c r="Y1012" s="1">
        <f t="shared" si="126"/>
        <v>0</v>
      </c>
      <c r="Z1012" s="1">
        <f t="shared" si="127"/>
        <v>0</v>
      </c>
      <c r="AA1012" s="1">
        <f t="shared" si="128"/>
        <v>0</v>
      </c>
    </row>
    <row r="1013" spans="2:27" x14ac:dyDescent="0.3">
      <c r="B1013" s="12"/>
      <c r="I1013" s="14"/>
      <c r="J1013" s="13"/>
      <c r="T1013" s="1">
        <f t="shared" si="121"/>
        <v>0</v>
      </c>
      <c r="U1013" s="1">
        <f t="shared" si="122"/>
        <v>0</v>
      </c>
      <c r="V1013" s="1">
        <f t="shared" si="123"/>
        <v>0</v>
      </c>
      <c r="W1013" s="1">
        <f t="shared" si="124"/>
        <v>0</v>
      </c>
      <c r="X1013" s="1">
        <f t="shared" si="125"/>
        <v>0</v>
      </c>
      <c r="Y1013" s="1">
        <f t="shared" si="126"/>
        <v>0</v>
      </c>
      <c r="Z1013" s="1">
        <f t="shared" si="127"/>
        <v>0</v>
      </c>
      <c r="AA1013" s="1">
        <f t="shared" si="128"/>
        <v>0</v>
      </c>
    </row>
    <row r="1014" spans="2:27" x14ac:dyDescent="0.3">
      <c r="B1014" s="12"/>
      <c r="I1014" s="14"/>
      <c r="J1014" s="13"/>
      <c r="T1014" s="1">
        <f t="shared" si="121"/>
        <v>0</v>
      </c>
      <c r="U1014" s="1">
        <f t="shared" si="122"/>
        <v>0</v>
      </c>
      <c r="V1014" s="1">
        <f t="shared" si="123"/>
        <v>0</v>
      </c>
      <c r="W1014" s="1">
        <f t="shared" si="124"/>
        <v>0</v>
      </c>
      <c r="X1014" s="1">
        <f t="shared" si="125"/>
        <v>0</v>
      </c>
      <c r="Y1014" s="1">
        <f t="shared" si="126"/>
        <v>0</v>
      </c>
      <c r="Z1014" s="1">
        <f t="shared" si="127"/>
        <v>0</v>
      </c>
      <c r="AA1014" s="1">
        <f t="shared" si="128"/>
        <v>0</v>
      </c>
    </row>
    <row r="1015" spans="2:27" x14ac:dyDescent="0.3">
      <c r="B1015" s="12"/>
      <c r="I1015" s="14"/>
      <c r="J1015" s="13"/>
      <c r="T1015" s="1">
        <f t="shared" si="121"/>
        <v>0</v>
      </c>
      <c r="U1015" s="1">
        <f t="shared" si="122"/>
        <v>0</v>
      </c>
      <c r="V1015" s="1">
        <f t="shared" si="123"/>
        <v>0</v>
      </c>
      <c r="W1015" s="1">
        <f t="shared" si="124"/>
        <v>0</v>
      </c>
      <c r="X1015" s="1">
        <f t="shared" si="125"/>
        <v>0</v>
      </c>
      <c r="Y1015" s="1">
        <f t="shared" si="126"/>
        <v>0</v>
      </c>
      <c r="Z1015" s="1">
        <f t="shared" si="127"/>
        <v>0</v>
      </c>
      <c r="AA1015" s="1">
        <f t="shared" si="128"/>
        <v>0</v>
      </c>
    </row>
    <row r="1016" spans="2:27" x14ac:dyDescent="0.3">
      <c r="B1016" s="12"/>
      <c r="I1016" s="14"/>
      <c r="J1016" s="13"/>
      <c r="T1016" s="1">
        <f t="shared" si="121"/>
        <v>0</v>
      </c>
      <c r="U1016" s="1">
        <f t="shared" si="122"/>
        <v>0</v>
      </c>
      <c r="V1016" s="1">
        <f t="shared" si="123"/>
        <v>0</v>
      </c>
      <c r="W1016" s="1">
        <f t="shared" si="124"/>
        <v>0</v>
      </c>
      <c r="X1016" s="1">
        <f t="shared" si="125"/>
        <v>0</v>
      </c>
      <c r="Y1016" s="1">
        <f t="shared" si="126"/>
        <v>0</v>
      </c>
      <c r="Z1016" s="1">
        <f t="shared" si="127"/>
        <v>0</v>
      </c>
      <c r="AA1016" s="1">
        <f t="shared" si="128"/>
        <v>0</v>
      </c>
    </row>
    <row r="1017" spans="2:27" x14ac:dyDescent="0.3">
      <c r="B1017" s="12"/>
      <c r="I1017" s="14"/>
      <c r="J1017" s="13"/>
      <c r="T1017" s="1">
        <f t="shared" si="121"/>
        <v>0</v>
      </c>
      <c r="U1017" s="1">
        <f t="shared" si="122"/>
        <v>0</v>
      </c>
      <c r="V1017" s="1">
        <f t="shared" si="123"/>
        <v>0</v>
      </c>
      <c r="W1017" s="1">
        <f t="shared" si="124"/>
        <v>0</v>
      </c>
      <c r="X1017" s="1">
        <f t="shared" si="125"/>
        <v>0</v>
      </c>
      <c r="Y1017" s="1">
        <f t="shared" si="126"/>
        <v>0</v>
      </c>
      <c r="Z1017" s="1">
        <f t="shared" si="127"/>
        <v>0</v>
      </c>
      <c r="AA1017" s="1">
        <f t="shared" si="128"/>
        <v>0</v>
      </c>
    </row>
    <row r="1018" spans="2:27" x14ac:dyDescent="0.3">
      <c r="B1018" s="12"/>
      <c r="I1018" s="14"/>
      <c r="J1018" s="13"/>
      <c r="T1018" s="1">
        <f t="shared" si="121"/>
        <v>0</v>
      </c>
      <c r="U1018" s="1">
        <f t="shared" si="122"/>
        <v>0</v>
      </c>
      <c r="V1018" s="1">
        <f t="shared" si="123"/>
        <v>0</v>
      </c>
      <c r="W1018" s="1">
        <f t="shared" si="124"/>
        <v>0</v>
      </c>
      <c r="X1018" s="1">
        <f t="shared" si="125"/>
        <v>0</v>
      </c>
      <c r="Y1018" s="1">
        <f t="shared" si="126"/>
        <v>0</v>
      </c>
      <c r="Z1018" s="1">
        <f t="shared" si="127"/>
        <v>0</v>
      </c>
      <c r="AA1018" s="1">
        <f t="shared" si="128"/>
        <v>0</v>
      </c>
    </row>
    <row r="1019" spans="2:27" x14ac:dyDescent="0.3">
      <c r="B1019" s="12"/>
      <c r="I1019" s="14"/>
      <c r="J1019" s="13"/>
      <c r="T1019" s="1">
        <f t="shared" si="121"/>
        <v>0</v>
      </c>
      <c r="U1019" s="1">
        <f t="shared" si="122"/>
        <v>0</v>
      </c>
      <c r="V1019" s="1">
        <f t="shared" si="123"/>
        <v>0</v>
      </c>
      <c r="W1019" s="1">
        <f t="shared" si="124"/>
        <v>0</v>
      </c>
      <c r="X1019" s="1">
        <f t="shared" si="125"/>
        <v>0</v>
      </c>
      <c r="Y1019" s="1">
        <f t="shared" si="126"/>
        <v>0</v>
      </c>
      <c r="Z1019" s="1">
        <f t="shared" si="127"/>
        <v>0</v>
      </c>
      <c r="AA1019" s="1">
        <f t="shared" si="128"/>
        <v>0</v>
      </c>
    </row>
    <row r="1020" spans="2:27" x14ac:dyDescent="0.3">
      <c r="B1020" s="12"/>
      <c r="I1020" s="14"/>
      <c r="J1020" s="13"/>
      <c r="T1020" s="1">
        <f t="shared" si="121"/>
        <v>0</v>
      </c>
      <c r="U1020" s="1">
        <f t="shared" si="122"/>
        <v>0</v>
      </c>
      <c r="V1020" s="1">
        <f t="shared" si="123"/>
        <v>0</v>
      </c>
      <c r="W1020" s="1">
        <f t="shared" si="124"/>
        <v>0</v>
      </c>
      <c r="X1020" s="1">
        <f t="shared" si="125"/>
        <v>0</v>
      </c>
      <c r="Y1020" s="1">
        <f t="shared" si="126"/>
        <v>0</v>
      </c>
      <c r="Z1020" s="1">
        <f t="shared" si="127"/>
        <v>0</v>
      </c>
      <c r="AA1020" s="1">
        <f t="shared" si="128"/>
        <v>0</v>
      </c>
    </row>
    <row r="1021" spans="2:27" x14ac:dyDescent="0.3">
      <c r="B1021" s="12"/>
      <c r="I1021" s="14"/>
      <c r="J1021" s="13"/>
      <c r="T1021" s="1">
        <f t="shared" si="121"/>
        <v>0</v>
      </c>
      <c r="U1021" s="1">
        <f t="shared" si="122"/>
        <v>0</v>
      </c>
      <c r="V1021" s="1">
        <f t="shared" si="123"/>
        <v>0</v>
      </c>
      <c r="W1021" s="1">
        <f t="shared" si="124"/>
        <v>0</v>
      </c>
      <c r="X1021" s="1">
        <f t="shared" si="125"/>
        <v>0</v>
      </c>
      <c r="Y1021" s="1">
        <f t="shared" si="126"/>
        <v>0</v>
      </c>
      <c r="Z1021" s="1">
        <f t="shared" si="127"/>
        <v>0</v>
      </c>
      <c r="AA1021" s="1">
        <f t="shared" si="128"/>
        <v>0</v>
      </c>
    </row>
    <row r="1022" spans="2:27" x14ac:dyDescent="0.3">
      <c r="B1022" s="12"/>
      <c r="I1022" s="14"/>
      <c r="J1022" s="13"/>
      <c r="T1022" s="1">
        <f t="shared" si="121"/>
        <v>0</v>
      </c>
      <c r="U1022" s="1">
        <f t="shared" si="122"/>
        <v>0</v>
      </c>
      <c r="V1022" s="1">
        <f t="shared" si="123"/>
        <v>0</v>
      </c>
      <c r="W1022" s="1">
        <f t="shared" si="124"/>
        <v>0</v>
      </c>
      <c r="X1022" s="1">
        <f t="shared" si="125"/>
        <v>0</v>
      </c>
      <c r="Y1022" s="1">
        <f t="shared" si="126"/>
        <v>0</v>
      </c>
      <c r="Z1022" s="1">
        <f t="shared" si="127"/>
        <v>0</v>
      </c>
      <c r="AA1022" s="1">
        <f t="shared" si="128"/>
        <v>0</v>
      </c>
    </row>
    <row r="1023" spans="2:27" x14ac:dyDescent="0.3">
      <c r="B1023" s="12"/>
      <c r="I1023" s="14"/>
      <c r="J1023" s="13"/>
      <c r="T1023" s="1">
        <f t="shared" si="121"/>
        <v>0</v>
      </c>
      <c r="U1023" s="1">
        <f t="shared" si="122"/>
        <v>0</v>
      </c>
      <c r="V1023" s="1">
        <f t="shared" si="123"/>
        <v>0</v>
      </c>
      <c r="W1023" s="1">
        <f t="shared" si="124"/>
        <v>0</v>
      </c>
      <c r="X1023" s="1">
        <f t="shared" si="125"/>
        <v>0</v>
      </c>
      <c r="Y1023" s="1">
        <f t="shared" si="126"/>
        <v>0</v>
      </c>
      <c r="Z1023" s="1">
        <f t="shared" si="127"/>
        <v>0</v>
      </c>
      <c r="AA1023" s="1">
        <f t="shared" si="128"/>
        <v>0</v>
      </c>
    </row>
    <row r="1024" spans="2:27" x14ac:dyDescent="0.3">
      <c r="B1024" s="12"/>
      <c r="I1024" s="14"/>
      <c r="J1024" s="13"/>
      <c r="T1024" s="1">
        <f t="shared" si="121"/>
        <v>0</v>
      </c>
      <c r="U1024" s="1">
        <f t="shared" si="122"/>
        <v>0</v>
      </c>
      <c r="V1024" s="1">
        <f t="shared" si="123"/>
        <v>0</v>
      </c>
      <c r="W1024" s="1">
        <f t="shared" si="124"/>
        <v>0</v>
      </c>
      <c r="X1024" s="1">
        <f t="shared" si="125"/>
        <v>0</v>
      </c>
      <c r="Y1024" s="1">
        <f t="shared" si="126"/>
        <v>0</v>
      </c>
      <c r="Z1024" s="1">
        <f t="shared" si="127"/>
        <v>0</v>
      </c>
      <c r="AA1024" s="1">
        <f t="shared" si="128"/>
        <v>0</v>
      </c>
    </row>
    <row r="1025" spans="2:27" x14ac:dyDescent="0.3">
      <c r="B1025" s="12"/>
      <c r="I1025" s="14"/>
      <c r="J1025" s="13"/>
      <c r="T1025" s="1">
        <f t="shared" si="121"/>
        <v>0</v>
      </c>
      <c r="U1025" s="1">
        <f t="shared" si="122"/>
        <v>0</v>
      </c>
      <c r="V1025" s="1">
        <f t="shared" si="123"/>
        <v>0</v>
      </c>
      <c r="W1025" s="1">
        <f t="shared" si="124"/>
        <v>0</v>
      </c>
      <c r="X1025" s="1">
        <f t="shared" si="125"/>
        <v>0</v>
      </c>
      <c r="Y1025" s="1">
        <f t="shared" si="126"/>
        <v>0</v>
      </c>
      <c r="Z1025" s="1">
        <f t="shared" si="127"/>
        <v>0</v>
      </c>
      <c r="AA1025" s="1">
        <f t="shared" si="128"/>
        <v>0</v>
      </c>
    </row>
    <row r="1026" spans="2:27" x14ac:dyDescent="0.3">
      <c r="B1026" s="12"/>
      <c r="I1026" s="14"/>
      <c r="J1026" s="13"/>
      <c r="T1026" s="1">
        <f t="shared" si="121"/>
        <v>0</v>
      </c>
      <c r="U1026" s="1">
        <f t="shared" si="122"/>
        <v>0</v>
      </c>
      <c r="V1026" s="1">
        <f t="shared" si="123"/>
        <v>0</v>
      </c>
      <c r="W1026" s="1">
        <f t="shared" si="124"/>
        <v>0</v>
      </c>
      <c r="X1026" s="1">
        <f t="shared" si="125"/>
        <v>0</v>
      </c>
      <c r="Y1026" s="1">
        <f t="shared" si="126"/>
        <v>0</v>
      </c>
      <c r="Z1026" s="1">
        <f t="shared" si="127"/>
        <v>0</v>
      </c>
      <c r="AA1026" s="1">
        <f t="shared" si="128"/>
        <v>0</v>
      </c>
    </row>
    <row r="1027" spans="2:27" x14ac:dyDescent="0.3">
      <c r="B1027" s="12"/>
      <c r="I1027" s="14"/>
      <c r="J1027" s="13"/>
      <c r="T1027" s="1">
        <f t="shared" si="121"/>
        <v>0</v>
      </c>
      <c r="U1027" s="1">
        <f t="shared" si="122"/>
        <v>0</v>
      </c>
      <c r="V1027" s="1">
        <f t="shared" si="123"/>
        <v>0</v>
      </c>
      <c r="W1027" s="1">
        <f t="shared" si="124"/>
        <v>0</v>
      </c>
      <c r="X1027" s="1">
        <f t="shared" si="125"/>
        <v>0</v>
      </c>
      <c r="Y1027" s="1">
        <f t="shared" si="126"/>
        <v>0</v>
      </c>
      <c r="Z1027" s="1">
        <f t="shared" si="127"/>
        <v>0</v>
      </c>
      <c r="AA1027" s="1">
        <f t="shared" si="128"/>
        <v>0</v>
      </c>
    </row>
    <row r="1028" spans="2:27" x14ac:dyDescent="0.3">
      <c r="B1028" s="12"/>
      <c r="I1028" s="14"/>
      <c r="J1028" s="13"/>
      <c r="T1028" s="1">
        <f t="shared" si="121"/>
        <v>0</v>
      </c>
      <c r="U1028" s="1">
        <f t="shared" si="122"/>
        <v>0</v>
      </c>
      <c r="V1028" s="1">
        <f t="shared" si="123"/>
        <v>0</v>
      </c>
      <c r="W1028" s="1">
        <f t="shared" si="124"/>
        <v>0</v>
      </c>
      <c r="X1028" s="1">
        <f t="shared" si="125"/>
        <v>0</v>
      </c>
      <c r="Y1028" s="1">
        <f t="shared" si="126"/>
        <v>0</v>
      </c>
      <c r="Z1028" s="1">
        <f t="shared" si="127"/>
        <v>0</v>
      </c>
      <c r="AA1028" s="1">
        <f t="shared" si="128"/>
        <v>0</v>
      </c>
    </row>
    <row r="1029" spans="2:27" x14ac:dyDescent="0.3">
      <c r="B1029" s="12"/>
      <c r="I1029" s="14"/>
      <c r="J1029" s="13"/>
      <c r="T1029" s="1">
        <f t="shared" si="121"/>
        <v>0</v>
      </c>
      <c r="U1029" s="1">
        <f t="shared" si="122"/>
        <v>0</v>
      </c>
      <c r="V1029" s="1">
        <f t="shared" si="123"/>
        <v>0</v>
      </c>
      <c r="W1029" s="1">
        <f t="shared" si="124"/>
        <v>0</v>
      </c>
      <c r="X1029" s="1">
        <f t="shared" si="125"/>
        <v>0</v>
      </c>
      <c r="Y1029" s="1">
        <f t="shared" si="126"/>
        <v>0</v>
      </c>
      <c r="Z1029" s="1">
        <f t="shared" si="127"/>
        <v>0</v>
      </c>
      <c r="AA1029" s="1">
        <f t="shared" si="128"/>
        <v>0</v>
      </c>
    </row>
    <row r="1030" spans="2:27" x14ac:dyDescent="0.3">
      <c r="B1030" s="12"/>
      <c r="I1030" s="14"/>
      <c r="J1030" s="13"/>
      <c r="T1030" s="1">
        <f t="shared" si="121"/>
        <v>0</v>
      </c>
      <c r="U1030" s="1">
        <f t="shared" si="122"/>
        <v>0</v>
      </c>
      <c r="V1030" s="1">
        <f t="shared" si="123"/>
        <v>0</v>
      </c>
      <c r="W1030" s="1">
        <f t="shared" si="124"/>
        <v>0</v>
      </c>
      <c r="X1030" s="1">
        <f t="shared" si="125"/>
        <v>0</v>
      </c>
      <c r="Y1030" s="1">
        <f t="shared" si="126"/>
        <v>0</v>
      </c>
      <c r="Z1030" s="1">
        <f t="shared" si="127"/>
        <v>0</v>
      </c>
      <c r="AA1030" s="1">
        <f t="shared" si="128"/>
        <v>0</v>
      </c>
    </row>
    <row r="1031" spans="2:27" x14ac:dyDescent="0.3">
      <c r="B1031" s="12"/>
      <c r="I1031" s="14"/>
      <c r="J1031" s="13"/>
      <c r="T1031" s="1">
        <f t="shared" ref="T1031:T1094" si="129">IF(AND(G1031="-"),0,G1031*F1031)</f>
        <v>0</v>
      </c>
      <c r="U1031" s="1">
        <f t="shared" ref="U1031:U1094" si="130">IF(AND(O1031="-"),0,O1031*N1031)</f>
        <v>0</v>
      </c>
      <c r="V1031" s="1">
        <f t="shared" ref="V1031:V1094" si="131">IFERROR(C1031*H1031,0)</f>
        <v>0</v>
      </c>
      <c r="W1031" s="1">
        <f t="shared" ref="W1031:W1094" si="132">IFERROR(K1031*P1031,0)</f>
        <v>0</v>
      </c>
      <c r="X1031" s="1">
        <f t="shared" ref="X1031:X1094" si="133">IFERROR(G1031*1,0)</f>
        <v>0</v>
      </c>
      <c r="Y1031" s="1">
        <f t="shared" ref="Y1031:Y1094" si="134">IFERROR(O1031*1,0)</f>
        <v>0</v>
      </c>
      <c r="Z1031" s="1">
        <f t="shared" ref="Z1031:Z1094" si="135">IFERROR(H1031*1,0)</f>
        <v>0</v>
      </c>
      <c r="AA1031" s="1">
        <f t="shared" ref="AA1031:AA1094" si="136">IFERROR(P1031*1,0)</f>
        <v>0</v>
      </c>
    </row>
    <row r="1032" spans="2:27" x14ac:dyDescent="0.3">
      <c r="B1032" s="12"/>
      <c r="I1032" s="14"/>
      <c r="J1032" s="13"/>
      <c r="T1032" s="1">
        <f t="shared" si="129"/>
        <v>0</v>
      </c>
      <c r="U1032" s="1">
        <f t="shared" si="130"/>
        <v>0</v>
      </c>
      <c r="V1032" s="1">
        <f t="shared" si="131"/>
        <v>0</v>
      </c>
      <c r="W1032" s="1">
        <f t="shared" si="132"/>
        <v>0</v>
      </c>
      <c r="X1032" s="1">
        <f t="shared" si="133"/>
        <v>0</v>
      </c>
      <c r="Y1032" s="1">
        <f t="shared" si="134"/>
        <v>0</v>
      </c>
      <c r="Z1032" s="1">
        <f t="shared" si="135"/>
        <v>0</v>
      </c>
      <c r="AA1032" s="1">
        <f t="shared" si="136"/>
        <v>0</v>
      </c>
    </row>
    <row r="1033" spans="2:27" x14ac:dyDescent="0.3">
      <c r="B1033" s="12"/>
      <c r="I1033" s="14"/>
      <c r="J1033" s="13"/>
      <c r="T1033" s="1">
        <f t="shared" si="129"/>
        <v>0</v>
      </c>
      <c r="U1033" s="1">
        <f t="shared" si="130"/>
        <v>0</v>
      </c>
      <c r="V1033" s="1">
        <f t="shared" si="131"/>
        <v>0</v>
      </c>
      <c r="W1033" s="1">
        <f t="shared" si="132"/>
        <v>0</v>
      </c>
      <c r="X1033" s="1">
        <f t="shared" si="133"/>
        <v>0</v>
      </c>
      <c r="Y1033" s="1">
        <f t="shared" si="134"/>
        <v>0</v>
      </c>
      <c r="Z1033" s="1">
        <f t="shared" si="135"/>
        <v>0</v>
      </c>
      <c r="AA1033" s="1">
        <f t="shared" si="136"/>
        <v>0</v>
      </c>
    </row>
    <row r="1034" spans="2:27" x14ac:dyDescent="0.3">
      <c r="B1034" s="12"/>
      <c r="I1034" s="14"/>
      <c r="J1034" s="13"/>
      <c r="T1034" s="1">
        <f t="shared" si="129"/>
        <v>0</v>
      </c>
      <c r="U1034" s="1">
        <f t="shared" si="130"/>
        <v>0</v>
      </c>
      <c r="V1034" s="1">
        <f t="shared" si="131"/>
        <v>0</v>
      </c>
      <c r="W1034" s="1">
        <f t="shared" si="132"/>
        <v>0</v>
      </c>
      <c r="X1034" s="1">
        <f t="shared" si="133"/>
        <v>0</v>
      </c>
      <c r="Y1034" s="1">
        <f t="shared" si="134"/>
        <v>0</v>
      </c>
      <c r="Z1034" s="1">
        <f t="shared" si="135"/>
        <v>0</v>
      </c>
      <c r="AA1034" s="1">
        <f t="shared" si="136"/>
        <v>0</v>
      </c>
    </row>
    <row r="1035" spans="2:27" x14ac:dyDescent="0.3">
      <c r="B1035" s="12"/>
      <c r="I1035" s="14"/>
      <c r="J1035" s="13"/>
      <c r="T1035" s="1">
        <f t="shared" si="129"/>
        <v>0</v>
      </c>
      <c r="U1035" s="1">
        <f t="shared" si="130"/>
        <v>0</v>
      </c>
      <c r="V1035" s="1">
        <f t="shared" si="131"/>
        <v>0</v>
      </c>
      <c r="W1035" s="1">
        <f t="shared" si="132"/>
        <v>0</v>
      </c>
      <c r="X1035" s="1">
        <f t="shared" si="133"/>
        <v>0</v>
      </c>
      <c r="Y1035" s="1">
        <f t="shared" si="134"/>
        <v>0</v>
      </c>
      <c r="Z1035" s="1">
        <f t="shared" si="135"/>
        <v>0</v>
      </c>
      <c r="AA1035" s="1">
        <f t="shared" si="136"/>
        <v>0</v>
      </c>
    </row>
    <row r="1036" spans="2:27" x14ac:dyDescent="0.3">
      <c r="B1036" s="12"/>
      <c r="I1036" s="14"/>
      <c r="J1036" s="13"/>
      <c r="T1036" s="1">
        <f t="shared" si="129"/>
        <v>0</v>
      </c>
      <c r="U1036" s="1">
        <f t="shared" si="130"/>
        <v>0</v>
      </c>
      <c r="V1036" s="1">
        <f t="shared" si="131"/>
        <v>0</v>
      </c>
      <c r="W1036" s="1">
        <f t="shared" si="132"/>
        <v>0</v>
      </c>
      <c r="X1036" s="1">
        <f t="shared" si="133"/>
        <v>0</v>
      </c>
      <c r="Y1036" s="1">
        <f t="shared" si="134"/>
        <v>0</v>
      </c>
      <c r="Z1036" s="1">
        <f t="shared" si="135"/>
        <v>0</v>
      </c>
      <c r="AA1036" s="1">
        <f t="shared" si="136"/>
        <v>0</v>
      </c>
    </row>
    <row r="1037" spans="2:27" x14ac:dyDescent="0.3">
      <c r="B1037" s="12"/>
      <c r="I1037" s="14"/>
      <c r="J1037" s="13"/>
      <c r="T1037" s="1">
        <f t="shared" si="129"/>
        <v>0</v>
      </c>
      <c r="U1037" s="1">
        <f t="shared" si="130"/>
        <v>0</v>
      </c>
      <c r="V1037" s="1">
        <f t="shared" si="131"/>
        <v>0</v>
      </c>
      <c r="W1037" s="1">
        <f t="shared" si="132"/>
        <v>0</v>
      </c>
      <c r="X1037" s="1">
        <f t="shared" si="133"/>
        <v>0</v>
      </c>
      <c r="Y1037" s="1">
        <f t="shared" si="134"/>
        <v>0</v>
      </c>
      <c r="Z1037" s="1">
        <f t="shared" si="135"/>
        <v>0</v>
      </c>
      <c r="AA1037" s="1">
        <f t="shared" si="136"/>
        <v>0</v>
      </c>
    </row>
    <row r="1038" spans="2:27" x14ac:dyDescent="0.3">
      <c r="B1038" s="12"/>
      <c r="I1038" s="14"/>
      <c r="J1038" s="13"/>
      <c r="T1038" s="1">
        <f t="shared" si="129"/>
        <v>0</v>
      </c>
      <c r="U1038" s="1">
        <f t="shared" si="130"/>
        <v>0</v>
      </c>
      <c r="V1038" s="1">
        <f t="shared" si="131"/>
        <v>0</v>
      </c>
      <c r="W1038" s="1">
        <f t="shared" si="132"/>
        <v>0</v>
      </c>
      <c r="X1038" s="1">
        <f t="shared" si="133"/>
        <v>0</v>
      </c>
      <c r="Y1038" s="1">
        <f t="shared" si="134"/>
        <v>0</v>
      </c>
      <c r="Z1038" s="1">
        <f t="shared" si="135"/>
        <v>0</v>
      </c>
      <c r="AA1038" s="1">
        <f t="shared" si="136"/>
        <v>0</v>
      </c>
    </row>
    <row r="1039" spans="2:27" x14ac:dyDescent="0.3">
      <c r="B1039" s="12"/>
      <c r="I1039" s="14"/>
      <c r="J1039" s="13"/>
      <c r="T1039" s="1">
        <f t="shared" si="129"/>
        <v>0</v>
      </c>
      <c r="U1039" s="1">
        <f t="shared" si="130"/>
        <v>0</v>
      </c>
      <c r="V1039" s="1">
        <f t="shared" si="131"/>
        <v>0</v>
      </c>
      <c r="W1039" s="1">
        <f t="shared" si="132"/>
        <v>0</v>
      </c>
      <c r="X1039" s="1">
        <f t="shared" si="133"/>
        <v>0</v>
      </c>
      <c r="Y1039" s="1">
        <f t="shared" si="134"/>
        <v>0</v>
      </c>
      <c r="Z1039" s="1">
        <f t="shared" si="135"/>
        <v>0</v>
      </c>
      <c r="AA1039" s="1">
        <f t="shared" si="136"/>
        <v>0</v>
      </c>
    </row>
    <row r="1040" spans="2:27" x14ac:dyDescent="0.3">
      <c r="B1040" s="12"/>
      <c r="I1040" s="14"/>
      <c r="J1040" s="13"/>
      <c r="T1040" s="1">
        <f t="shared" si="129"/>
        <v>0</v>
      </c>
      <c r="U1040" s="1">
        <f t="shared" si="130"/>
        <v>0</v>
      </c>
      <c r="V1040" s="1">
        <f t="shared" si="131"/>
        <v>0</v>
      </c>
      <c r="W1040" s="1">
        <f t="shared" si="132"/>
        <v>0</v>
      </c>
      <c r="X1040" s="1">
        <f t="shared" si="133"/>
        <v>0</v>
      </c>
      <c r="Y1040" s="1">
        <f t="shared" si="134"/>
        <v>0</v>
      </c>
      <c r="Z1040" s="1">
        <f t="shared" si="135"/>
        <v>0</v>
      </c>
      <c r="AA1040" s="1">
        <f t="shared" si="136"/>
        <v>0</v>
      </c>
    </row>
    <row r="1041" spans="2:27" x14ac:dyDescent="0.3">
      <c r="B1041" s="12"/>
      <c r="I1041" s="14"/>
      <c r="J1041" s="13"/>
      <c r="T1041" s="1">
        <f t="shared" si="129"/>
        <v>0</v>
      </c>
      <c r="U1041" s="1">
        <f t="shared" si="130"/>
        <v>0</v>
      </c>
      <c r="V1041" s="1">
        <f t="shared" si="131"/>
        <v>0</v>
      </c>
      <c r="W1041" s="1">
        <f t="shared" si="132"/>
        <v>0</v>
      </c>
      <c r="X1041" s="1">
        <f t="shared" si="133"/>
        <v>0</v>
      </c>
      <c r="Y1041" s="1">
        <f t="shared" si="134"/>
        <v>0</v>
      </c>
      <c r="Z1041" s="1">
        <f t="shared" si="135"/>
        <v>0</v>
      </c>
      <c r="AA1041" s="1">
        <f t="shared" si="136"/>
        <v>0</v>
      </c>
    </row>
    <row r="1042" spans="2:27" x14ac:dyDescent="0.3">
      <c r="B1042" s="12"/>
      <c r="I1042" s="14"/>
      <c r="J1042" s="13"/>
      <c r="T1042" s="1">
        <f t="shared" si="129"/>
        <v>0</v>
      </c>
      <c r="U1042" s="1">
        <f t="shared" si="130"/>
        <v>0</v>
      </c>
      <c r="V1042" s="1">
        <f t="shared" si="131"/>
        <v>0</v>
      </c>
      <c r="W1042" s="1">
        <f t="shared" si="132"/>
        <v>0</v>
      </c>
      <c r="X1042" s="1">
        <f t="shared" si="133"/>
        <v>0</v>
      </c>
      <c r="Y1042" s="1">
        <f t="shared" si="134"/>
        <v>0</v>
      </c>
      <c r="Z1042" s="1">
        <f t="shared" si="135"/>
        <v>0</v>
      </c>
      <c r="AA1042" s="1">
        <f t="shared" si="136"/>
        <v>0</v>
      </c>
    </row>
    <row r="1043" spans="2:27" x14ac:dyDescent="0.3">
      <c r="B1043" s="12"/>
      <c r="I1043" s="14"/>
      <c r="J1043" s="13"/>
      <c r="T1043" s="1">
        <f t="shared" si="129"/>
        <v>0</v>
      </c>
      <c r="U1043" s="1">
        <f t="shared" si="130"/>
        <v>0</v>
      </c>
      <c r="V1043" s="1">
        <f t="shared" si="131"/>
        <v>0</v>
      </c>
      <c r="W1043" s="1">
        <f t="shared" si="132"/>
        <v>0</v>
      </c>
      <c r="X1043" s="1">
        <f t="shared" si="133"/>
        <v>0</v>
      </c>
      <c r="Y1043" s="1">
        <f t="shared" si="134"/>
        <v>0</v>
      </c>
      <c r="Z1043" s="1">
        <f t="shared" si="135"/>
        <v>0</v>
      </c>
      <c r="AA1043" s="1">
        <f t="shared" si="136"/>
        <v>0</v>
      </c>
    </row>
    <row r="1044" spans="2:27" x14ac:dyDescent="0.3">
      <c r="B1044" s="12"/>
      <c r="I1044" s="14"/>
      <c r="J1044" s="13"/>
      <c r="T1044" s="1">
        <f t="shared" si="129"/>
        <v>0</v>
      </c>
      <c r="U1044" s="1">
        <f t="shared" si="130"/>
        <v>0</v>
      </c>
      <c r="V1044" s="1">
        <f t="shared" si="131"/>
        <v>0</v>
      </c>
      <c r="W1044" s="1">
        <f t="shared" si="132"/>
        <v>0</v>
      </c>
      <c r="X1044" s="1">
        <f t="shared" si="133"/>
        <v>0</v>
      </c>
      <c r="Y1044" s="1">
        <f t="shared" si="134"/>
        <v>0</v>
      </c>
      <c r="Z1044" s="1">
        <f t="shared" si="135"/>
        <v>0</v>
      </c>
      <c r="AA1044" s="1">
        <f t="shared" si="136"/>
        <v>0</v>
      </c>
    </row>
    <row r="1045" spans="2:27" x14ac:dyDescent="0.3">
      <c r="B1045" s="12"/>
      <c r="I1045" s="14"/>
      <c r="J1045" s="13"/>
      <c r="T1045" s="1">
        <f t="shared" si="129"/>
        <v>0</v>
      </c>
      <c r="U1045" s="1">
        <f t="shared" si="130"/>
        <v>0</v>
      </c>
      <c r="V1045" s="1">
        <f t="shared" si="131"/>
        <v>0</v>
      </c>
      <c r="W1045" s="1">
        <f t="shared" si="132"/>
        <v>0</v>
      </c>
      <c r="X1045" s="1">
        <f t="shared" si="133"/>
        <v>0</v>
      </c>
      <c r="Y1045" s="1">
        <f t="shared" si="134"/>
        <v>0</v>
      </c>
      <c r="Z1045" s="1">
        <f t="shared" si="135"/>
        <v>0</v>
      </c>
      <c r="AA1045" s="1">
        <f t="shared" si="136"/>
        <v>0</v>
      </c>
    </row>
    <row r="1046" spans="2:27" x14ac:dyDescent="0.3">
      <c r="B1046" s="12"/>
      <c r="I1046" s="14"/>
      <c r="J1046" s="13"/>
      <c r="T1046" s="1">
        <f t="shared" si="129"/>
        <v>0</v>
      </c>
      <c r="U1046" s="1">
        <f t="shared" si="130"/>
        <v>0</v>
      </c>
      <c r="V1046" s="1">
        <f t="shared" si="131"/>
        <v>0</v>
      </c>
      <c r="W1046" s="1">
        <f t="shared" si="132"/>
        <v>0</v>
      </c>
      <c r="X1046" s="1">
        <f t="shared" si="133"/>
        <v>0</v>
      </c>
      <c r="Y1046" s="1">
        <f t="shared" si="134"/>
        <v>0</v>
      </c>
      <c r="Z1046" s="1">
        <f t="shared" si="135"/>
        <v>0</v>
      </c>
      <c r="AA1046" s="1">
        <f t="shared" si="136"/>
        <v>0</v>
      </c>
    </row>
    <row r="1047" spans="2:27" x14ac:dyDescent="0.3">
      <c r="B1047" s="12"/>
      <c r="I1047" s="14"/>
      <c r="J1047" s="13"/>
      <c r="T1047" s="1">
        <f t="shared" si="129"/>
        <v>0</v>
      </c>
      <c r="U1047" s="1">
        <f t="shared" si="130"/>
        <v>0</v>
      </c>
      <c r="V1047" s="1">
        <f t="shared" si="131"/>
        <v>0</v>
      </c>
      <c r="W1047" s="1">
        <f t="shared" si="132"/>
        <v>0</v>
      </c>
      <c r="X1047" s="1">
        <f t="shared" si="133"/>
        <v>0</v>
      </c>
      <c r="Y1047" s="1">
        <f t="shared" si="134"/>
        <v>0</v>
      </c>
      <c r="Z1047" s="1">
        <f t="shared" si="135"/>
        <v>0</v>
      </c>
      <c r="AA1047" s="1">
        <f t="shared" si="136"/>
        <v>0</v>
      </c>
    </row>
    <row r="1048" spans="2:27" x14ac:dyDescent="0.3">
      <c r="B1048" s="12"/>
      <c r="I1048" s="14"/>
      <c r="J1048" s="13"/>
      <c r="T1048" s="1">
        <f t="shared" si="129"/>
        <v>0</v>
      </c>
      <c r="U1048" s="1">
        <f t="shared" si="130"/>
        <v>0</v>
      </c>
      <c r="V1048" s="1">
        <f t="shared" si="131"/>
        <v>0</v>
      </c>
      <c r="W1048" s="1">
        <f t="shared" si="132"/>
        <v>0</v>
      </c>
      <c r="X1048" s="1">
        <f t="shared" si="133"/>
        <v>0</v>
      </c>
      <c r="Y1048" s="1">
        <f t="shared" si="134"/>
        <v>0</v>
      </c>
      <c r="Z1048" s="1">
        <f t="shared" si="135"/>
        <v>0</v>
      </c>
      <c r="AA1048" s="1">
        <f t="shared" si="136"/>
        <v>0</v>
      </c>
    </row>
    <row r="1049" spans="2:27" x14ac:dyDescent="0.3">
      <c r="B1049" s="12"/>
      <c r="I1049" s="14"/>
      <c r="J1049" s="13"/>
      <c r="T1049" s="1">
        <f t="shared" si="129"/>
        <v>0</v>
      </c>
      <c r="U1049" s="1">
        <f t="shared" si="130"/>
        <v>0</v>
      </c>
      <c r="V1049" s="1">
        <f t="shared" si="131"/>
        <v>0</v>
      </c>
      <c r="W1049" s="1">
        <f t="shared" si="132"/>
        <v>0</v>
      </c>
      <c r="X1049" s="1">
        <f t="shared" si="133"/>
        <v>0</v>
      </c>
      <c r="Y1049" s="1">
        <f t="shared" si="134"/>
        <v>0</v>
      </c>
      <c r="Z1049" s="1">
        <f t="shared" si="135"/>
        <v>0</v>
      </c>
      <c r="AA1049" s="1">
        <f t="shared" si="136"/>
        <v>0</v>
      </c>
    </row>
    <row r="1050" spans="2:27" x14ac:dyDescent="0.3">
      <c r="B1050" s="12"/>
      <c r="I1050" s="14"/>
      <c r="J1050" s="13"/>
      <c r="T1050" s="1">
        <f t="shared" si="129"/>
        <v>0</v>
      </c>
      <c r="U1050" s="1">
        <f t="shared" si="130"/>
        <v>0</v>
      </c>
      <c r="V1050" s="1">
        <f t="shared" si="131"/>
        <v>0</v>
      </c>
      <c r="W1050" s="1">
        <f t="shared" si="132"/>
        <v>0</v>
      </c>
      <c r="X1050" s="1">
        <f t="shared" si="133"/>
        <v>0</v>
      </c>
      <c r="Y1050" s="1">
        <f t="shared" si="134"/>
        <v>0</v>
      </c>
      <c r="Z1050" s="1">
        <f t="shared" si="135"/>
        <v>0</v>
      </c>
      <c r="AA1050" s="1">
        <f t="shared" si="136"/>
        <v>0</v>
      </c>
    </row>
    <row r="1051" spans="2:27" x14ac:dyDescent="0.3">
      <c r="B1051" s="12"/>
      <c r="I1051" s="14"/>
      <c r="J1051" s="13"/>
      <c r="T1051" s="1">
        <f t="shared" si="129"/>
        <v>0</v>
      </c>
      <c r="U1051" s="1">
        <f t="shared" si="130"/>
        <v>0</v>
      </c>
      <c r="V1051" s="1">
        <f t="shared" si="131"/>
        <v>0</v>
      </c>
      <c r="W1051" s="1">
        <f t="shared" si="132"/>
        <v>0</v>
      </c>
      <c r="X1051" s="1">
        <f t="shared" si="133"/>
        <v>0</v>
      </c>
      <c r="Y1051" s="1">
        <f t="shared" si="134"/>
        <v>0</v>
      </c>
      <c r="Z1051" s="1">
        <f t="shared" si="135"/>
        <v>0</v>
      </c>
      <c r="AA1051" s="1">
        <f t="shared" si="136"/>
        <v>0</v>
      </c>
    </row>
    <row r="1052" spans="2:27" x14ac:dyDescent="0.3">
      <c r="B1052" s="12"/>
      <c r="J1052" s="13"/>
      <c r="T1052" s="1">
        <f t="shared" si="129"/>
        <v>0</v>
      </c>
      <c r="U1052" s="1">
        <f t="shared" si="130"/>
        <v>0</v>
      </c>
      <c r="V1052" s="1">
        <f t="shared" si="131"/>
        <v>0</v>
      </c>
      <c r="W1052" s="1">
        <f t="shared" si="132"/>
        <v>0</v>
      </c>
      <c r="X1052" s="1">
        <f t="shared" si="133"/>
        <v>0</v>
      </c>
      <c r="Y1052" s="1">
        <f t="shared" si="134"/>
        <v>0</v>
      </c>
      <c r="Z1052" s="1">
        <f t="shared" si="135"/>
        <v>0</v>
      </c>
      <c r="AA1052" s="1">
        <f t="shared" si="136"/>
        <v>0</v>
      </c>
    </row>
    <row r="1053" spans="2:27" x14ac:dyDescent="0.3">
      <c r="B1053" s="12"/>
      <c r="J1053" s="13"/>
      <c r="T1053" s="1">
        <f t="shared" si="129"/>
        <v>0</v>
      </c>
      <c r="U1053" s="1">
        <f t="shared" si="130"/>
        <v>0</v>
      </c>
      <c r="V1053" s="1">
        <f t="shared" si="131"/>
        <v>0</v>
      </c>
      <c r="W1053" s="1">
        <f t="shared" si="132"/>
        <v>0</v>
      </c>
      <c r="X1053" s="1">
        <f t="shared" si="133"/>
        <v>0</v>
      </c>
      <c r="Y1053" s="1">
        <f t="shared" si="134"/>
        <v>0</v>
      </c>
      <c r="Z1053" s="1">
        <f t="shared" si="135"/>
        <v>0</v>
      </c>
      <c r="AA1053" s="1">
        <f t="shared" si="136"/>
        <v>0</v>
      </c>
    </row>
    <row r="1054" spans="2:27" x14ac:dyDescent="0.3">
      <c r="B1054" s="12"/>
      <c r="J1054" s="13"/>
      <c r="T1054" s="1">
        <f t="shared" si="129"/>
        <v>0</v>
      </c>
      <c r="U1054" s="1">
        <f t="shared" si="130"/>
        <v>0</v>
      </c>
      <c r="V1054" s="1">
        <f t="shared" si="131"/>
        <v>0</v>
      </c>
      <c r="W1054" s="1">
        <f t="shared" si="132"/>
        <v>0</v>
      </c>
      <c r="X1054" s="1">
        <f t="shared" si="133"/>
        <v>0</v>
      </c>
      <c r="Y1054" s="1">
        <f t="shared" si="134"/>
        <v>0</v>
      </c>
      <c r="Z1054" s="1">
        <f t="shared" si="135"/>
        <v>0</v>
      </c>
      <c r="AA1054" s="1">
        <f t="shared" si="136"/>
        <v>0</v>
      </c>
    </row>
    <row r="1055" spans="2:27" x14ac:dyDescent="0.3">
      <c r="B1055" s="12"/>
      <c r="J1055" s="13"/>
      <c r="T1055" s="1">
        <f t="shared" si="129"/>
        <v>0</v>
      </c>
      <c r="U1055" s="1">
        <f t="shared" si="130"/>
        <v>0</v>
      </c>
      <c r="V1055" s="1">
        <f t="shared" si="131"/>
        <v>0</v>
      </c>
      <c r="W1055" s="1">
        <f t="shared" si="132"/>
        <v>0</v>
      </c>
      <c r="X1055" s="1">
        <f t="shared" si="133"/>
        <v>0</v>
      </c>
      <c r="Y1055" s="1">
        <f t="shared" si="134"/>
        <v>0</v>
      </c>
      <c r="Z1055" s="1">
        <f t="shared" si="135"/>
        <v>0</v>
      </c>
      <c r="AA1055" s="1">
        <f t="shared" si="136"/>
        <v>0</v>
      </c>
    </row>
    <row r="1056" spans="2:27" x14ac:dyDescent="0.3">
      <c r="B1056" s="12"/>
      <c r="J1056" s="13"/>
      <c r="T1056" s="1">
        <f t="shared" si="129"/>
        <v>0</v>
      </c>
      <c r="U1056" s="1">
        <f t="shared" si="130"/>
        <v>0</v>
      </c>
      <c r="V1056" s="1">
        <f t="shared" si="131"/>
        <v>0</v>
      </c>
      <c r="W1056" s="1">
        <f t="shared" si="132"/>
        <v>0</v>
      </c>
      <c r="X1056" s="1">
        <f t="shared" si="133"/>
        <v>0</v>
      </c>
      <c r="Y1056" s="1">
        <f t="shared" si="134"/>
        <v>0</v>
      </c>
      <c r="Z1056" s="1">
        <f t="shared" si="135"/>
        <v>0</v>
      </c>
      <c r="AA1056" s="1">
        <f t="shared" si="136"/>
        <v>0</v>
      </c>
    </row>
    <row r="1057" spans="2:27" x14ac:dyDescent="0.3">
      <c r="B1057" s="12"/>
      <c r="J1057" s="13"/>
      <c r="T1057" s="1">
        <f t="shared" si="129"/>
        <v>0</v>
      </c>
      <c r="U1057" s="1">
        <f t="shared" si="130"/>
        <v>0</v>
      </c>
      <c r="V1057" s="1">
        <f t="shared" si="131"/>
        <v>0</v>
      </c>
      <c r="W1057" s="1">
        <f t="shared" si="132"/>
        <v>0</v>
      </c>
      <c r="X1057" s="1">
        <f t="shared" si="133"/>
        <v>0</v>
      </c>
      <c r="Y1057" s="1">
        <f t="shared" si="134"/>
        <v>0</v>
      </c>
      <c r="Z1057" s="1">
        <f t="shared" si="135"/>
        <v>0</v>
      </c>
      <c r="AA1057" s="1">
        <f t="shared" si="136"/>
        <v>0</v>
      </c>
    </row>
    <row r="1058" spans="2:27" x14ac:dyDescent="0.3">
      <c r="B1058" s="12"/>
      <c r="J1058" s="13"/>
      <c r="T1058" s="1">
        <f t="shared" si="129"/>
        <v>0</v>
      </c>
      <c r="U1058" s="1">
        <f t="shared" si="130"/>
        <v>0</v>
      </c>
      <c r="V1058" s="1">
        <f t="shared" si="131"/>
        <v>0</v>
      </c>
      <c r="W1058" s="1">
        <f t="shared" si="132"/>
        <v>0</v>
      </c>
      <c r="X1058" s="1">
        <f t="shared" si="133"/>
        <v>0</v>
      </c>
      <c r="Y1058" s="1">
        <f t="shared" si="134"/>
        <v>0</v>
      </c>
      <c r="Z1058" s="1">
        <f t="shared" si="135"/>
        <v>0</v>
      </c>
      <c r="AA1058" s="1">
        <f t="shared" si="136"/>
        <v>0</v>
      </c>
    </row>
    <row r="1059" spans="2:27" x14ac:dyDescent="0.3">
      <c r="B1059" s="12"/>
      <c r="J1059" s="13"/>
      <c r="T1059" s="1">
        <f t="shared" si="129"/>
        <v>0</v>
      </c>
      <c r="U1059" s="1">
        <f t="shared" si="130"/>
        <v>0</v>
      </c>
      <c r="V1059" s="1">
        <f t="shared" si="131"/>
        <v>0</v>
      </c>
      <c r="W1059" s="1">
        <f t="shared" si="132"/>
        <v>0</v>
      </c>
      <c r="X1059" s="1">
        <f t="shared" si="133"/>
        <v>0</v>
      </c>
      <c r="Y1059" s="1">
        <f t="shared" si="134"/>
        <v>0</v>
      </c>
      <c r="Z1059" s="1">
        <f t="shared" si="135"/>
        <v>0</v>
      </c>
      <c r="AA1059" s="1">
        <f t="shared" si="136"/>
        <v>0</v>
      </c>
    </row>
    <row r="1060" spans="2:27" x14ac:dyDescent="0.3">
      <c r="B1060" s="12"/>
      <c r="J1060" s="13"/>
      <c r="T1060" s="1">
        <f t="shared" si="129"/>
        <v>0</v>
      </c>
      <c r="U1060" s="1">
        <f t="shared" si="130"/>
        <v>0</v>
      </c>
      <c r="V1060" s="1">
        <f t="shared" si="131"/>
        <v>0</v>
      </c>
      <c r="W1060" s="1">
        <f t="shared" si="132"/>
        <v>0</v>
      </c>
      <c r="X1060" s="1">
        <f t="shared" si="133"/>
        <v>0</v>
      </c>
      <c r="Y1060" s="1">
        <f t="shared" si="134"/>
        <v>0</v>
      </c>
      <c r="Z1060" s="1">
        <f t="shared" si="135"/>
        <v>0</v>
      </c>
      <c r="AA1060" s="1">
        <f t="shared" si="136"/>
        <v>0</v>
      </c>
    </row>
    <row r="1061" spans="2:27" x14ac:dyDescent="0.3">
      <c r="B1061" s="12"/>
      <c r="J1061" s="13"/>
      <c r="T1061" s="1">
        <f t="shared" si="129"/>
        <v>0</v>
      </c>
      <c r="U1061" s="1">
        <f t="shared" si="130"/>
        <v>0</v>
      </c>
      <c r="V1061" s="1">
        <f t="shared" si="131"/>
        <v>0</v>
      </c>
      <c r="W1061" s="1">
        <f t="shared" si="132"/>
        <v>0</v>
      </c>
      <c r="X1061" s="1">
        <f t="shared" si="133"/>
        <v>0</v>
      </c>
      <c r="Y1061" s="1">
        <f t="shared" si="134"/>
        <v>0</v>
      </c>
      <c r="Z1061" s="1">
        <f t="shared" si="135"/>
        <v>0</v>
      </c>
      <c r="AA1061" s="1">
        <f t="shared" si="136"/>
        <v>0</v>
      </c>
    </row>
    <row r="1062" spans="2:27" x14ac:dyDescent="0.3">
      <c r="B1062" s="12"/>
      <c r="J1062" s="13"/>
      <c r="T1062" s="1">
        <f t="shared" si="129"/>
        <v>0</v>
      </c>
      <c r="U1062" s="1">
        <f t="shared" si="130"/>
        <v>0</v>
      </c>
      <c r="V1062" s="1">
        <f t="shared" si="131"/>
        <v>0</v>
      </c>
      <c r="W1062" s="1">
        <f t="shared" si="132"/>
        <v>0</v>
      </c>
      <c r="X1062" s="1">
        <f t="shared" si="133"/>
        <v>0</v>
      </c>
      <c r="Y1062" s="1">
        <f t="shared" si="134"/>
        <v>0</v>
      </c>
      <c r="Z1062" s="1">
        <f t="shared" si="135"/>
        <v>0</v>
      </c>
      <c r="AA1062" s="1">
        <f t="shared" si="136"/>
        <v>0</v>
      </c>
    </row>
    <row r="1063" spans="2:27" x14ac:dyDescent="0.3">
      <c r="B1063" s="12"/>
      <c r="J1063" s="13"/>
      <c r="T1063" s="1">
        <f t="shared" si="129"/>
        <v>0</v>
      </c>
      <c r="U1063" s="1">
        <f t="shared" si="130"/>
        <v>0</v>
      </c>
      <c r="V1063" s="1">
        <f t="shared" si="131"/>
        <v>0</v>
      </c>
      <c r="W1063" s="1">
        <f t="shared" si="132"/>
        <v>0</v>
      </c>
      <c r="X1063" s="1">
        <f t="shared" si="133"/>
        <v>0</v>
      </c>
      <c r="Y1063" s="1">
        <f t="shared" si="134"/>
        <v>0</v>
      </c>
      <c r="Z1063" s="1">
        <f t="shared" si="135"/>
        <v>0</v>
      </c>
      <c r="AA1063" s="1">
        <f t="shared" si="136"/>
        <v>0</v>
      </c>
    </row>
    <row r="1064" spans="2:27" x14ac:dyDescent="0.3">
      <c r="B1064" s="12"/>
      <c r="J1064" s="13"/>
      <c r="T1064" s="1">
        <f t="shared" si="129"/>
        <v>0</v>
      </c>
      <c r="U1064" s="1">
        <f t="shared" si="130"/>
        <v>0</v>
      </c>
      <c r="V1064" s="1">
        <f t="shared" si="131"/>
        <v>0</v>
      </c>
      <c r="W1064" s="1">
        <f t="shared" si="132"/>
        <v>0</v>
      </c>
      <c r="X1064" s="1">
        <f t="shared" si="133"/>
        <v>0</v>
      </c>
      <c r="Y1064" s="1">
        <f t="shared" si="134"/>
        <v>0</v>
      </c>
      <c r="Z1064" s="1">
        <f t="shared" si="135"/>
        <v>0</v>
      </c>
      <c r="AA1064" s="1">
        <f t="shared" si="136"/>
        <v>0</v>
      </c>
    </row>
    <row r="1065" spans="2:27" x14ac:dyDescent="0.3">
      <c r="B1065" s="12"/>
      <c r="J1065" s="13"/>
      <c r="T1065" s="1">
        <f t="shared" si="129"/>
        <v>0</v>
      </c>
      <c r="U1065" s="1">
        <f t="shared" si="130"/>
        <v>0</v>
      </c>
      <c r="V1065" s="1">
        <f t="shared" si="131"/>
        <v>0</v>
      </c>
      <c r="W1065" s="1">
        <f t="shared" si="132"/>
        <v>0</v>
      </c>
      <c r="X1065" s="1">
        <f t="shared" si="133"/>
        <v>0</v>
      </c>
      <c r="Y1065" s="1">
        <f t="shared" si="134"/>
        <v>0</v>
      </c>
      <c r="Z1065" s="1">
        <f t="shared" si="135"/>
        <v>0</v>
      </c>
      <c r="AA1065" s="1">
        <f t="shared" si="136"/>
        <v>0</v>
      </c>
    </row>
    <row r="1066" spans="2:27" x14ac:dyDescent="0.3">
      <c r="B1066" s="12"/>
      <c r="J1066" s="13"/>
      <c r="T1066" s="1">
        <f t="shared" si="129"/>
        <v>0</v>
      </c>
      <c r="U1066" s="1">
        <f t="shared" si="130"/>
        <v>0</v>
      </c>
      <c r="V1066" s="1">
        <f t="shared" si="131"/>
        <v>0</v>
      </c>
      <c r="W1066" s="1">
        <f t="shared" si="132"/>
        <v>0</v>
      </c>
      <c r="X1066" s="1">
        <f t="shared" si="133"/>
        <v>0</v>
      </c>
      <c r="Y1066" s="1">
        <f t="shared" si="134"/>
        <v>0</v>
      </c>
      <c r="Z1066" s="1">
        <f t="shared" si="135"/>
        <v>0</v>
      </c>
      <c r="AA1066" s="1">
        <f t="shared" si="136"/>
        <v>0</v>
      </c>
    </row>
    <row r="1067" spans="2:27" x14ac:dyDescent="0.3">
      <c r="B1067" s="12"/>
      <c r="I1067" s="14"/>
      <c r="J1067" s="13"/>
      <c r="T1067" s="1">
        <f t="shared" si="129"/>
        <v>0</v>
      </c>
      <c r="U1067" s="1">
        <f t="shared" si="130"/>
        <v>0</v>
      </c>
      <c r="V1067" s="1">
        <f t="shared" si="131"/>
        <v>0</v>
      </c>
      <c r="W1067" s="1">
        <f t="shared" si="132"/>
        <v>0</v>
      </c>
      <c r="X1067" s="1">
        <f t="shared" si="133"/>
        <v>0</v>
      </c>
      <c r="Y1067" s="1">
        <f t="shared" si="134"/>
        <v>0</v>
      </c>
      <c r="Z1067" s="1">
        <f t="shared" si="135"/>
        <v>0</v>
      </c>
      <c r="AA1067" s="1">
        <f t="shared" si="136"/>
        <v>0</v>
      </c>
    </row>
    <row r="1068" spans="2:27" x14ac:dyDescent="0.3">
      <c r="B1068" s="12"/>
      <c r="I1068" s="14"/>
      <c r="J1068" s="13"/>
      <c r="T1068" s="1">
        <f t="shared" si="129"/>
        <v>0</v>
      </c>
      <c r="U1068" s="1">
        <f t="shared" si="130"/>
        <v>0</v>
      </c>
      <c r="V1068" s="1">
        <f t="shared" si="131"/>
        <v>0</v>
      </c>
      <c r="W1068" s="1">
        <f t="shared" si="132"/>
        <v>0</v>
      </c>
      <c r="X1068" s="1">
        <f t="shared" si="133"/>
        <v>0</v>
      </c>
      <c r="Y1068" s="1">
        <f t="shared" si="134"/>
        <v>0</v>
      </c>
      <c r="Z1068" s="1">
        <f t="shared" si="135"/>
        <v>0</v>
      </c>
      <c r="AA1068" s="1">
        <f t="shared" si="136"/>
        <v>0</v>
      </c>
    </row>
    <row r="1069" spans="2:27" x14ac:dyDescent="0.3">
      <c r="B1069" s="12"/>
      <c r="I1069" s="14"/>
      <c r="J1069" s="13"/>
      <c r="T1069" s="1">
        <f t="shared" si="129"/>
        <v>0</v>
      </c>
      <c r="U1069" s="1">
        <f t="shared" si="130"/>
        <v>0</v>
      </c>
      <c r="V1069" s="1">
        <f t="shared" si="131"/>
        <v>0</v>
      </c>
      <c r="W1069" s="1">
        <f t="shared" si="132"/>
        <v>0</v>
      </c>
      <c r="X1069" s="1">
        <f t="shared" si="133"/>
        <v>0</v>
      </c>
      <c r="Y1069" s="1">
        <f t="shared" si="134"/>
        <v>0</v>
      </c>
      <c r="Z1069" s="1">
        <f t="shared" si="135"/>
        <v>0</v>
      </c>
      <c r="AA1069" s="1">
        <f t="shared" si="136"/>
        <v>0</v>
      </c>
    </row>
    <row r="1070" spans="2:27" x14ac:dyDescent="0.3">
      <c r="B1070" s="12"/>
      <c r="I1070" s="14"/>
      <c r="J1070" s="13"/>
      <c r="T1070" s="1">
        <f t="shared" si="129"/>
        <v>0</v>
      </c>
      <c r="U1070" s="1">
        <f t="shared" si="130"/>
        <v>0</v>
      </c>
      <c r="V1070" s="1">
        <f t="shared" si="131"/>
        <v>0</v>
      </c>
      <c r="W1070" s="1">
        <f t="shared" si="132"/>
        <v>0</v>
      </c>
      <c r="X1070" s="1">
        <f t="shared" si="133"/>
        <v>0</v>
      </c>
      <c r="Y1070" s="1">
        <f t="shared" si="134"/>
        <v>0</v>
      </c>
      <c r="Z1070" s="1">
        <f t="shared" si="135"/>
        <v>0</v>
      </c>
      <c r="AA1070" s="1">
        <f t="shared" si="136"/>
        <v>0</v>
      </c>
    </row>
    <row r="1071" spans="2:27" x14ac:dyDescent="0.3">
      <c r="B1071" s="12"/>
      <c r="I1071" s="14"/>
      <c r="J1071" s="13"/>
      <c r="T1071" s="1">
        <f t="shared" si="129"/>
        <v>0</v>
      </c>
      <c r="U1071" s="1">
        <f t="shared" si="130"/>
        <v>0</v>
      </c>
      <c r="V1071" s="1">
        <f t="shared" si="131"/>
        <v>0</v>
      </c>
      <c r="W1071" s="1">
        <f t="shared" si="132"/>
        <v>0</v>
      </c>
      <c r="X1071" s="1">
        <f t="shared" si="133"/>
        <v>0</v>
      </c>
      <c r="Y1071" s="1">
        <f t="shared" si="134"/>
        <v>0</v>
      </c>
      <c r="Z1071" s="1">
        <f t="shared" si="135"/>
        <v>0</v>
      </c>
      <c r="AA1071" s="1">
        <f t="shared" si="136"/>
        <v>0</v>
      </c>
    </row>
    <row r="1072" spans="2:27" x14ac:dyDescent="0.3">
      <c r="B1072" s="12"/>
      <c r="I1072" s="14"/>
      <c r="J1072" s="13"/>
      <c r="T1072" s="1">
        <f t="shared" si="129"/>
        <v>0</v>
      </c>
      <c r="U1072" s="1">
        <f t="shared" si="130"/>
        <v>0</v>
      </c>
      <c r="V1072" s="1">
        <f t="shared" si="131"/>
        <v>0</v>
      </c>
      <c r="W1072" s="1">
        <f t="shared" si="132"/>
        <v>0</v>
      </c>
      <c r="X1072" s="1">
        <f t="shared" si="133"/>
        <v>0</v>
      </c>
      <c r="Y1072" s="1">
        <f t="shared" si="134"/>
        <v>0</v>
      </c>
      <c r="Z1072" s="1">
        <f t="shared" si="135"/>
        <v>0</v>
      </c>
      <c r="AA1072" s="1">
        <f t="shared" si="136"/>
        <v>0</v>
      </c>
    </row>
    <row r="1073" spans="2:27" x14ac:dyDescent="0.3">
      <c r="B1073" s="12"/>
      <c r="I1073" s="14"/>
      <c r="J1073" s="13"/>
      <c r="T1073" s="1">
        <f t="shared" si="129"/>
        <v>0</v>
      </c>
      <c r="U1073" s="1">
        <f t="shared" si="130"/>
        <v>0</v>
      </c>
      <c r="V1073" s="1">
        <f t="shared" si="131"/>
        <v>0</v>
      </c>
      <c r="W1073" s="1">
        <f t="shared" si="132"/>
        <v>0</v>
      </c>
      <c r="X1073" s="1">
        <f t="shared" si="133"/>
        <v>0</v>
      </c>
      <c r="Y1073" s="1">
        <f t="shared" si="134"/>
        <v>0</v>
      </c>
      <c r="Z1073" s="1">
        <f t="shared" si="135"/>
        <v>0</v>
      </c>
      <c r="AA1073" s="1">
        <f t="shared" si="136"/>
        <v>0</v>
      </c>
    </row>
    <row r="1074" spans="2:27" x14ac:dyDescent="0.3">
      <c r="B1074" s="12"/>
      <c r="I1074" s="14"/>
      <c r="J1074" s="13"/>
      <c r="T1074" s="1">
        <f t="shared" si="129"/>
        <v>0</v>
      </c>
      <c r="U1074" s="1">
        <f t="shared" si="130"/>
        <v>0</v>
      </c>
      <c r="V1074" s="1">
        <f t="shared" si="131"/>
        <v>0</v>
      </c>
      <c r="W1074" s="1">
        <f t="shared" si="132"/>
        <v>0</v>
      </c>
      <c r="X1074" s="1">
        <f t="shared" si="133"/>
        <v>0</v>
      </c>
      <c r="Y1074" s="1">
        <f t="shared" si="134"/>
        <v>0</v>
      </c>
      <c r="Z1074" s="1">
        <f t="shared" si="135"/>
        <v>0</v>
      </c>
      <c r="AA1074" s="1">
        <f t="shared" si="136"/>
        <v>0</v>
      </c>
    </row>
    <row r="1075" spans="2:27" x14ac:dyDescent="0.3">
      <c r="B1075" s="12"/>
      <c r="I1075" s="14"/>
      <c r="J1075" s="13"/>
      <c r="T1075" s="1">
        <f t="shared" si="129"/>
        <v>0</v>
      </c>
      <c r="U1075" s="1">
        <f t="shared" si="130"/>
        <v>0</v>
      </c>
      <c r="V1075" s="1">
        <f t="shared" si="131"/>
        <v>0</v>
      </c>
      <c r="W1075" s="1">
        <f t="shared" si="132"/>
        <v>0</v>
      </c>
      <c r="X1075" s="1">
        <f t="shared" si="133"/>
        <v>0</v>
      </c>
      <c r="Y1075" s="1">
        <f t="shared" si="134"/>
        <v>0</v>
      </c>
      <c r="Z1075" s="1">
        <f t="shared" si="135"/>
        <v>0</v>
      </c>
      <c r="AA1075" s="1">
        <f t="shared" si="136"/>
        <v>0</v>
      </c>
    </row>
    <row r="1076" spans="2:27" x14ac:dyDescent="0.3">
      <c r="B1076" s="12"/>
      <c r="I1076" s="14"/>
      <c r="J1076" s="13"/>
      <c r="T1076" s="1">
        <f t="shared" si="129"/>
        <v>0</v>
      </c>
      <c r="U1076" s="1">
        <f t="shared" si="130"/>
        <v>0</v>
      </c>
      <c r="V1076" s="1">
        <f t="shared" si="131"/>
        <v>0</v>
      </c>
      <c r="W1076" s="1">
        <f t="shared" si="132"/>
        <v>0</v>
      </c>
      <c r="X1076" s="1">
        <f t="shared" si="133"/>
        <v>0</v>
      </c>
      <c r="Y1076" s="1">
        <f t="shared" si="134"/>
        <v>0</v>
      </c>
      <c r="Z1076" s="1">
        <f t="shared" si="135"/>
        <v>0</v>
      </c>
      <c r="AA1076" s="1">
        <f t="shared" si="136"/>
        <v>0</v>
      </c>
    </row>
    <row r="1077" spans="2:27" x14ac:dyDescent="0.3">
      <c r="B1077" s="12"/>
      <c r="I1077" s="14"/>
      <c r="J1077" s="13"/>
      <c r="T1077" s="1">
        <f t="shared" si="129"/>
        <v>0</v>
      </c>
      <c r="U1077" s="1">
        <f t="shared" si="130"/>
        <v>0</v>
      </c>
      <c r="V1077" s="1">
        <f t="shared" si="131"/>
        <v>0</v>
      </c>
      <c r="W1077" s="1">
        <f t="shared" si="132"/>
        <v>0</v>
      </c>
      <c r="X1077" s="1">
        <f t="shared" si="133"/>
        <v>0</v>
      </c>
      <c r="Y1077" s="1">
        <f t="shared" si="134"/>
        <v>0</v>
      </c>
      <c r="Z1077" s="1">
        <f t="shared" si="135"/>
        <v>0</v>
      </c>
      <c r="AA1077" s="1">
        <f t="shared" si="136"/>
        <v>0</v>
      </c>
    </row>
    <row r="1078" spans="2:27" x14ac:dyDescent="0.3">
      <c r="B1078" s="12"/>
      <c r="I1078" s="14"/>
      <c r="J1078" s="13"/>
      <c r="T1078" s="1">
        <f t="shared" si="129"/>
        <v>0</v>
      </c>
      <c r="U1078" s="1">
        <f t="shared" si="130"/>
        <v>0</v>
      </c>
      <c r="V1078" s="1">
        <f t="shared" si="131"/>
        <v>0</v>
      </c>
      <c r="W1078" s="1">
        <f t="shared" si="132"/>
        <v>0</v>
      </c>
      <c r="X1078" s="1">
        <f t="shared" si="133"/>
        <v>0</v>
      </c>
      <c r="Y1078" s="1">
        <f t="shared" si="134"/>
        <v>0</v>
      </c>
      <c r="Z1078" s="1">
        <f t="shared" si="135"/>
        <v>0</v>
      </c>
      <c r="AA1078" s="1">
        <f t="shared" si="136"/>
        <v>0</v>
      </c>
    </row>
    <row r="1079" spans="2:27" x14ac:dyDescent="0.3">
      <c r="B1079" s="12"/>
      <c r="I1079" s="14"/>
      <c r="J1079" s="13"/>
      <c r="T1079" s="1">
        <f t="shared" si="129"/>
        <v>0</v>
      </c>
      <c r="U1079" s="1">
        <f t="shared" si="130"/>
        <v>0</v>
      </c>
      <c r="V1079" s="1">
        <f t="shared" si="131"/>
        <v>0</v>
      </c>
      <c r="W1079" s="1">
        <f t="shared" si="132"/>
        <v>0</v>
      </c>
      <c r="X1079" s="1">
        <f t="shared" si="133"/>
        <v>0</v>
      </c>
      <c r="Y1079" s="1">
        <f t="shared" si="134"/>
        <v>0</v>
      </c>
      <c r="Z1079" s="1">
        <f t="shared" si="135"/>
        <v>0</v>
      </c>
      <c r="AA1079" s="1">
        <f t="shared" si="136"/>
        <v>0</v>
      </c>
    </row>
    <row r="1080" spans="2:27" x14ac:dyDescent="0.3">
      <c r="B1080" s="12"/>
      <c r="I1080" s="14"/>
      <c r="J1080" s="13"/>
      <c r="T1080" s="1">
        <f t="shared" si="129"/>
        <v>0</v>
      </c>
      <c r="U1080" s="1">
        <f t="shared" si="130"/>
        <v>0</v>
      </c>
      <c r="V1080" s="1">
        <f t="shared" si="131"/>
        <v>0</v>
      </c>
      <c r="W1080" s="1">
        <f t="shared" si="132"/>
        <v>0</v>
      </c>
      <c r="X1080" s="1">
        <f t="shared" si="133"/>
        <v>0</v>
      </c>
      <c r="Y1080" s="1">
        <f t="shared" si="134"/>
        <v>0</v>
      </c>
      <c r="Z1080" s="1">
        <f t="shared" si="135"/>
        <v>0</v>
      </c>
      <c r="AA1080" s="1">
        <f t="shared" si="136"/>
        <v>0</v>
      </c>
    </row>
    <row r="1081" spans="2:27" x14ac:dyDescent="0.3">
      <c r="B1081" s="12"/>
      <c r="I1081" s="14"/>
      <c r="J1081" s="13"/>
      <c r="T1081" s="1">
        <f t="shared" si="129"/>
        <v>0</v>
      </c>
      <c r="U1081" s="1">
        <f t="shared" si="130"/>
        <v>0</v>
      </c>
      <c r="V1081" s="1">
        <f t="shared" si="131"/>
        <v>0</v>
      </c>
      <c r="W1081" s="1">
        <f t="shared" si="132"/>
        <v>0</v>
      </c>
      <c r="X1081" s="1">
        <f t="shared" si="133"/>
        <v>0</v>
      </c>
      <c r="Y1081" s="1">
        <f t="shared" si="134"/>
        <v>0</v>
      </c>
      <c r="Z1081" s="1">
        <f t="shared" si="135"/>
        <v>0</v>
      </c>
      <c r="AA1081" s="1">
        <f t="shared" si="136"/>
        <v>0</v>
      </c>
    </row>
    <row r="1082" spans="2:27" x14ac:dyDescent="0.3">
      <c r="B1082" s="12"/>
      <c r="I1082" s="14"/>
      <c r="J1082" s="13"/>
      <c r="T1082" s="1">
        <f t="shared" si="129"/>
        <v>0</v>
      </c>
      <c r="U1082" s="1">
        <f t="shared" si="130"/>
        <v>0</v>
      </c>
      <c r="V1082" s="1">
        <f t="shared" si="131"/>
        <v>0</v>
      </c>
      <c r="W1082" s="1">
        <f t="shared" si="132"/>
        <v>0</v>
      </c>
      <c r="X1082" s="1">
        <f t="shared" si="133"/>
        <v>0</v>
      </c>
      <c r="Y1082" s="1">
        <f t="shared" si="134"/>
        <v>0</v>
      </c>
      <c r="Z1082" s="1">
        <f t="shared" si="135"/>
        <v>0</v>
      </c>
      <c r="AA1082" s="1">
        <f t="shared" si="136"/>
        <v>0</v>
      </c>
    </row>
    <row r="1083" spans="2:27" x14ac:dyDescent="0.3">
      <c r="B1083" s="12"/>
      <c r="I1083" s="14"/>
      <c r="J1083" s="13"/>
      <c r="T1083" s="1">
        <f t="shared" si="129"/>
        <v>0</v>
      </c>
      <c r="U1083" s="1">
        <f t="shared" si="130"/>
        <v>0</v>
      </c>
      <c r="V1083" s="1">
        <f t="shared" si="131"/>
        <v>0</v>
      </c>
      <c r="W1083" s="1">
        <f t="shared" si="132"/>
        <v>0</v>
      </c>
      <c r="X1083" s="1">
        <f t="shared" si="133"/>
        <v>0</v>
      </c>
      <c r="Y1083" s="1">
        <f t="shared" si="134"/>
        <v>0</v>
      </c>
      <c r="Z1083" s="1">
        <f t="shared" si="135"/>
        <v>0</v>
      </c>
      <c r="AA1083" s="1">
        <f t="shared" si="136"/>
        <v>0</v>
      </c>
    </row>
    <row r="1084" spans="2:27" x14ac:dyDescent="0.3">
      <c r="B1084" s="12"/>
      <c r="I1084" s="14"/>
      <c r="J1084" s="13"/>
      <c r="T1084" s="1">
        <f t="shared" si="129"/>
        <v>0</v>
      </c>
      <c r="U1084" s="1">
        <f t="shared" si="130"/>
        <v>0</v>
      </c>
      <c r="V1084" s="1">
        <f t="shared" si="131"/>
        <v>0</v>
      </c>
      <c r="W1084" s="1">
        <f t="shared" si="132"/>
        <v>0</v>
      </c>
      <c r="X1084" s="1">
        <f t="shared" si="133"/>
        <v>0</v>
      </c>
      <c r="Y1084" s="1">
        <f t="shared" si="134"/>
        <v>0</v>
      </c>
      <c r="Z1084" s="1">
        <f t="shared" si="135"/>
        <v>0</v>
      </c>
      <c r="AA1084" s="1">
        <f t="shared" si="136"/>
        <v>0</v>
      </c>
    </row>
    <row r="1085" spans="2:27" x14ac:dyDescent="0.3">
      <c r="B1085" s="12"/>
      <c r="I1085" s="14"/>
      <c r="J1085" s="13"/>
      <c r="T1085" s="1">
        <f t="shared" si="129"/>
        <v>0</v>
      </c>
      <c r="U1085" s="1">
        <f t="shared" si="130"/>
        <v>0</v>
      </c>
      <c r="V1085" s="1">
        <f t="shared" si="131"/>
        <v>0</v>
      </c>
      <c r="W1085" s="1">
        <f t="shared" si="132"/>
        <v>0</v>
      </c>
      <c r="X1085" s="1">
        <f t="shared" si="133"/>
        <v>0</v>
      </c>
      <c r="Y1085" s="1">
        <f t="shared" si="134"/>
        <v>0</v>
      </c>
      <c r="Z1085" s="1">
        <f t="shared" si="135"/>
        <v>0</v>
      </c>
      <c r="AA1085" s="1">
        <f t="shared" si="136"/>
        <v>0</v>
      </c>
    </row>
    <row r="1086" spans="2:27" x14ac:dyDescent="0.3">
      <c r="B1086" s="12"/>
      <c r="I1086" s="14"/>
      <c r="J1086" s="13"/>
      <c r="T1086" s="1">
        <f t="shared" si="129"/>
        <v>0</v>
      </c>
      <c r="U1086" s="1">
        <f t="shared" si="130"/>
        <v>0</v>
      </c>
      <c r="V1086" s="1">
        <f t="shared" si="131"/>
        <v>0</v>
      </c>
      <c r="W1086" s="1">
        <f t="shared" si="132"/>
        <v>0</v>
      </c>
      <c r="X1086" s="1">
        <f t="shared" si="133"/>
        <v>0</v>
      </c>
      <c r="Y1086" s="1">
        <f t="shared" si="134"/>
        <v>0</v>
      </c>
      <c r="Z1086" s="1">
        <f t="shared" si="135"/>
        <v>0</v>
      </c>
      <c r="AA1086" s="1">
        <f t="shared" si="136"/>
        <v>0</v>
      </c>
    </row>
    <row r="1087" spans="2:27" x14ac:dyDescent="0.3">
      <c r="B1087" s="12"/>
      <c r="I1087" s="14"/>
      <c r="J1087" s="13"/>
      <c r="T1087" s="1">
        <f t="shared" si="129"/>
        <v>0</v>
      </c>
      <c r="U1087" s="1">
        <f t="shared" si="130"/>
        <v>0</v>
      </c>
      <c r="V1087" s="1">
        <f t="shared" si="131"/>
        <v>0</v>
      </c>
      <c r="W1087" s="1">
        <f t="shared" si="132"/>
        <v>0</v>
      </c>
      <c r="X1087" s="1">
        <f t="shared" si="133"/>
        <v>0</v>
      </c>
      <c r="Y1087" s="1">
        <f t="shared" si="134"/>
        <v>0</v>
      </c>
      <c r="Z1087" s="1">
        <f t="shared" si="135"/>
        <v>0</v>
      </c>
      <c r="AA1087" s="1">
        <f t="shared" si="136"/>
        <v>0</v>
      </c>
    </row>
    <row r="1088" spans="2:27" x14ac:dyDescent="0.3">
      <c r="B1088" s="12"/>
      <c r="I1088" s="14"/>
      <c r="J1088" s="13"/>
      <c r="T1088" s="1">
        <f t="shared" si="129"/>
        <v>0</v>
      </c>
      <c r="U1088" s="1">
        <f t="shared" si="130"/>
        <v>0</v>
      </c>
      <c r="V1088" s="1">
        <f t="shared" si="131"/>
        <v>0</v>
      </c>
      <c r="W1088" s="1">
        <f t="shared" si="132"/>
        <v>0</v>
      </c>
      <c r="X1088" s="1">
        <f t="shared" si="133"/>
        <v>0</v>
      </c>
      <c r="Y1088" s="1">
        <f t="shared" si="134"/>
        <v>0</v>
      </c>
      <c r="Z1088" s="1">
        <f t="shared" si="135"/>
        <v>0</v>
      </c>
      <c r="AA1088" s="1">
        <f t="shared" si="136"/>
        <v>0</v>
      </c>
    </row>
    <row r="1089" spans="2:27" x14ac:dyDescent="0.3">
      <c r="B1089" s="12"/>
      <c r="I1089" s="14"/>
      <c r="J1089" s="13"/>
      <c r="T1089" s="1">
        <f t="shared" si="129"/>
        <v>0</v>
      </c>
      <c r="U1089" s="1">
        <f t="shared" si="130"/>
        <v>0</v>
      </c>
      <c r="V1089" s="1">
        <f t="shared" si="131"/>
        <v>0</v>
      </c>
      <c r="W1089" s="1">
        <f t="shared" si="132"/>
        <v>0</v>
      </c>
      <c r="X1089" s="1">
        <f t="shared" si="133"/>
        <v>0</v>
      </c>
      <c r="Y1089" s="1">
        <f t="shared" si="134"/>
        <v>0</v>
      </c>
      <c r="Z1089" s="1">
        <f t="shared" si="135"/>
        <v>0</v>
      </c>
      <c r="AA1089" s="1">
        <f t="shared" si="136"/>
        <v>0</v>
      </c>
    </row>
    <row r="1090" spans="2:27" x14ac:dyDescent="0.3">
      <c r="B1090" s="12"/>
      <c r="I1090" s="14"/>
      <c r="J1090" s="13"/>
      <c r="T1090" s="1">
        <f t="shared" si="129"/>
        <v>0</v>
      </c>
      <c r="U1090" s="1">
        <f t="shared" si="130"/>
        <v>0</v>
      </c>
      <c r="V1090" s="1">
        <f t="shared" si="131"/>
        <v>0</v>
      </c>
      <c r="W1090" s="1">
        <f t="shared" si="132"/>
        <v>0</v>
      </c>
      <c r="X1090" s="1">
        <f t="shared" si="133"/>
        <v>0</v>
      </c>
      <c r="Y1090" s="1">
        <f t="shared" si="134"/>
        <v>0</v>
      </c>
      <c r="Z1090" s="1">
        <f t="shared" si="135"/>
        <v>0</v>
      </c>
      <c r="AA1090" s="1">
        <f t="shared" si="136"/>
        <v>0</v>
      </c>
    </row>
    <row r="1091" spans="2:27" x14ac:dyDescent="0.3">
      <c r="B1091" s="12"/>
      <c r="I1091" s="14"/>
      <c r="J1091" s="13"/>
      <c r="T1091" s="1">
        <f t="shared" si="129"/>
        <v>0</v>
      </c>
      <c r="U1091" s="1">
        <f t="shared" si="130"/>
        <v>0</v>
      </c>
      <c r="V1091" s="1">
        <f t="shared" si="131"/>
        <v>0</v>
      </c>
      <c r="W1091" s="1">
        <f t="shared" si="132"/>
        <v>0</v>
      </c>
      <c r="X1091" s="1">
        <f t="shared" si="133"/>
        <v>0</v>
      </c>
      <c r="Y1091" s="1">
        <f t="shared" si="134"/>
        <v>0</v>
      </c>
      <c r="Z1091" s="1">
        <f t="shared" si="135"/>
        <v>0</v>
      </c>
      <c r="AA1091" s="1">
        <f t="shared" si="136"/>
        <v>0</v>
      </c>
    </row>
    <row r="1092" spans="2:27" x14ac:dyDescent="0.3">
      <c r="B1092" s="12"/>
      <c r="I1092" s="14"/>
      <c r="J1092" s="13"/>
      <c r="T1092" s="1">
        <f t="shared" si="129"/>
        <v>0</v>
      </c>
      <c r="U1092" s="1">
        <f t="shared" si="130"/>
        <v>0</v>
      </c>
      <c r="V1092" s="1">
        <f t="shared" si="131"/>
        <v>0</v>
      </c>
      <c r="W1092" s="1">
        <f t="shared" si="132"/>
        <v>0</v>
      </c>
      <c r="X1092" s="1">
        <f t="shared" si="133"/>
        <v>0</v>
      </c>
      <c r="Y1092" s="1">
        <f t="shared" si="134"/>
        <v>0</v>
      </c>
      <c r="Z1092" s="1">
        <f t="shared" si="135"/>
        <v>0</v>
      </c>
      <c r="AA1092" s="1">
        <f t="shared" si="136"/>
        <v>0</v>
      </c>
    </row>
    <row r="1093" spans="2:27" x14ac:dyDescent="0.3">
      <c r="B1093" s="12"/>
      <c r="I1093" s="14"/>
      <c r="J1093" s="13"/>
      <c r="T1093" s="1">
        <f t="shared" si="129"/>
        <v>0</v>
      </c>
      <c r="U1093" s="1">
        <f t="shared" si="130"/>
        <v>0</v>
      </c>
      <c r="V1093" s="1">
        <f t="shared" si="131"/>
        <v>0</v>
      </c>
      <c r="W1093" s="1">
        <f t="shared" si="132"/>
        <v>0</v>
      </c>
      <c r="X1093" s="1">
        <f t="shared" si="133"/>
        <v>0</v>
      </c>
      <c r="Y1093" s="1">
        <f t="shared" si="134"/>
        <v>0</v>
      </c>
      <c r="Z1093" s="1">
        <f t="shared" si="135"/>
        <v>0</v>
      </c>
      <c r="AA1093" s="1">
        <f t="shared" si="136"/>
        <v>0</v>
      </c>
    </row>
    <row r="1094" spans="2:27" x14ac:dyDescent="0.3">
      <c r="B1094" s="12"/>
      <c r="I1094" s="14"/>
      <c r="J1094" s="13"/>
      <c r="T1094" s="1">
        <f t="shared" si="129"/>
        <v>0</v>
      </c>
      <c r="U1094" s="1">
        <f t="shared" si="130"/>
        <v>0</v>
      </c>
      <c r="V1094" s="1">
        <f t="shared" si="131"/>
        <v>0</v>
      </c>
      <c r="W1094" s="1">
        <f t="shared" si="132"/>
        <v>0</v>
      </c>
      <c r="X1094" s="1">
        <f t="shared" si="133"/>
        <v>0</v>
      </c>
      <c r="Y1094" s="1">
        <f t="shared" si="134"/>
        <v>0</v>
      </c>
      <c r="Z1094" s="1">
        <f t="shared" si="135"/>
        <v>0</v>
      </c>
      <c r="AA1094" s="1">
        <f t="shared" si="136"/>
        <v>0</v>
      </c>
    </row>
    <row r="1095" spans="2:27" x14ac:dyDescent="0.3">
      <c r="B1095" s="12"/>
      <c r="I1095" s="14"/>
      <c r="J1095" s="13"/>
      <c r="T1095" s="1">
        <f t="shared" ref="T1095:T1158" si="137">IF(AND(G1095="-"),0,G1095*F1095)</f>
        <v>0</v>
      </c>
      <c r="U1095" s="1">
        <f t="shared" ref="U1095:U1158" si="138">IF(AND(O1095="-"),0,O1095*N1095)</f>
        <v>0</v>
      </c>
      <c r="V1095" s="1">
        <f t="shared" ref="V1095:V1158" si="139">IFERROR(C1095*H1095,0)</f>
        <v>0</v>
      </c>
      <c r="W1095" s="1">
        <f t="shared" ref="W1095:W1158" si="140">IFERROR(K1095*P1095,0)</f>
        <v>0</v>
      </c>
      <c r="X1095" s="1">
        <f t="shared" ref="X1095:X1158" si="141">IFERROR(G1095*1,0)</f>
        <v>0</v>
      </c>
      <c r="Y1095" s="1">
        <f t="shared" ref="Y1095:Y1158" si="142">IFERROR(O1095*1,0)</f>
        <v>0</v>
      </c>
      <c r="Z1095" s="1">
        <f t="shared" ref="Z1095:Z1158" si="143">IFERROR(H1095*1,0)</f>
        <v>0</v>
      </c>
      <c r="AA1095" s="1">
        <f t="shared" ref="AA1095:AA1158" si="144">IFERROR(P1095*1,0)</f>
        <v>0</v>
      </c>
    </row>
    <row r="1096" spans="2:27" x14ac:dyDescent="0.3">
      <c r="B1096" s="12"/>
      <c r="I1096" s="14"/>
      <c r="J1096" s="13"/>
      <c r="T1096" s="1">
        <f t="shared" si="137"/>
        <v>0</v>
      </c>
      <c r="U1096" s="1">
        <f t="shared" si="138"/>
        <v>0</v>
      </c>
      <c r="V1096" s="1">
        <f t="shared" si="139"/>
        <v>0</v>
      </c>
      <c r="W1096" s="1">
        <f t="shared" si="140"/>
        <v>0</v>
      </c>
      <c r="X1096" s="1">
        <f t="shared" si="141"/>
        <v>0</v>
      </c>
      <c r="Y1096" s="1">
        <f t="shared" si="142"/>
        <v>0</v>
      </c>
      <c r="Z1096" s="1">
        <f t="shared" si="143"/>
        <v>0</v>
      </c>
      <c r="AA1096" s="1">
        <f t="shared" si="144"/>
        <v>0</v>
      </c>
    </row>
    <row r="1097" spans="2:27" x14ac:dyDescent="0.3">
      <c r="B1097" s="12"/>
      <c r="I1097" s="14"/>
      <c r="J1097" s="13"/>
      <c r="T1097" s="1">
        <f t="shared" si="137"/>
        <v>0</v>
      </c>
      <c r="U1097" s="1">
        <f t="shared" si="138"/>
        <v>0</v>
      </c>
      <c r="V1097" s="1">
        <f t="shared" si="139"/>
        <v>0</v>
      </c>
      <c r="W1097" s="1">
        <f t="shared" si="140"/>
        <v>0</v>
      </c>
      <c r="X1097" s="1">
        <f t="shared" si="141"/>
        <v>0</v>
      </c>
      <c r="Y1097" s="1">
        <f t="shared" si="142"/>
        <v>0</v>
      </c>
      <c r="Z1097" s="1">
        <f t="shared" si="143"/>
        <v>0</v>
      </c>
      <c r="AA1097" s="1">
        <f t="shared" si="144"/>
        <v>0</v>
      </c>
    </row>
    <row r="1098" spans="2:27" x14ac:dyDescent="0.3">
      <c r="B1098" s="12"/>
      <c r="I1098" s="14"/>
      <c r="J1098" s="13"/>
      <c r="T1098" s="1">
        <f t="shared" si="137"/>
        <v>0</v>
      </c>
      <c r="U1098" s="1">
        <f t="shared" si="138"/>
        <v>0</v>
      </c>
      <c r="V1098" s="1">
        <f t="shared" si="139"/>
        <v>0</v>
      </c>
      <c r="W1098" s="1">
        <f t="shared" si="140"/>
        <v>0</v>
      </c>
      <c r="X1098" s="1">
        <f t="shared" si="141"/>
        <v>0</v>
      </c>
      <c r="Y1098" s="1">
        <f t="shared" si="142"/>
        <v>0</v>
      </c>
      <c r="Z1098" s="1">
        <f t="shared" si="143"/>
        <v>0</v>
      </c>
      <c r="AA1098" s="1">
        <f t="shared" si="144"/>
        <v>0</v>
      </c>
    </row>
    <row r="1099" spans="2:27" x14ac:dyDescent="0.3">
      <c r="B1099" s="12"/>
      <c r="I1099" s="14"/>
      <c r="J1099" s="13"/>
      <c r="T1099" s="1">
        <f t="shared" si="137"/>
        <v>0</v>
      </c>
      <c r="U1099" s="1">
        <f t="shared" si="138"/>
        <v>0</v>
      </c>
      <c r="V1099" s="1">
        <f t="shared" si="139"/>
        <v>0</v>
      </c>
      <c r="W1099" s="1">
        <f t="shared" si="140"/>
        <v>0</v>
      </c>
      <c r="X1099" s="1">
        <f t="shared" si="141"/>
        <v>0</v>
      </c>
      <c r="Y1099" s="1">
        <f t="shared" si="142"/>
        <v>0</v>
      </c>
      <c r="Z1099" s="1">
        <f t="shared" si="143"/>
        <v>0</v>
      </c>
      <c r="AA1099" s="1">
        <f t="shared" si="144"/>
        <v>0</v>
      </c>
    </row>
    <row r="1100" spans="2:27" x14ac:dyDescent="0.3">
      <c r="B1100" s="12"/>
      <c r="I1100" s="14"/>
      <c r="J1100" s="13"/>
      <c r="T1100" s="1">
        <f t="shared" si="137"/>
        <v>0</v>
      </c>
      <c r="U1100" s="1">
        <f t="shared" si="138"/>
        <v>0</v>
      </c>
      <c r="V1100" s="1">
        <f t="shared" si="139"/>
        <v>0</v>
      </c>
      <c r="W1100" s="1">
        <f t="shared" si="140"/>
        <v>0</v>
      </c>
      <c r="X1100" s="1">
        <f t="shared" si="141"/>
        <v>0</v>
      </c>
      <c r="Y1100" s="1">
        <f t="shared" si="142"/>
        <v>0</v>
      </c>
      <c r="Z1100" s="1">
        <f t="shared" si="143"/>
        <v>0</v>
      </c>
      <c r="AA1100" s="1">
        <f t="shared" si="144"/>
        <v>0</v>
      </c>
    </row>
    <row r="1101" spans="2:27" x14ac:dyDescent="0.3">
      <c r="B1101" s="12"/>
      <c r="I1101" s="14"/>
      <c r="J1101" s="13"/>
      <c r="T1101" s="1">
        <f t="shared" si="137"/>
        <v>0</v>
      </c>
      <c r="U1101" s="1">
        <f t="shared" si="138"/>
        <v>0</v>
      </c>
      <c r="V1101" s="1">
        <f t="shared" si="139"/>
        <v>0</v>
      </c>
      <c r="W1101" s="1">
        <f t="shared" si="140"/>
        <v>0</v>
      </c>
      <c r="X1101" s="1">
        <f t="shared" si="141"/>
        <v>0</v>
      </c>
      <c r="Y1101" s="1">
        <f t="shared" si="142"/>
        <v>0</v>
      </c>
      <c r="Z1101" s="1">
        <f t="shared" si="143"/>
        <v>0</v>
      </c>
      <c r="AA1101" s="1">
        <f t="shared" si="144"/>
        <v>0</v>
      </c>
    </row>
    <row r="1102" spans="2:27" x14ac:dyDescent="0.3">
      <c r="B1102" s="12"/>
      <c r="I1102" s="14"/>
      <c r="J1102" s="13"/>
      <c r="T1102" s="1">
        <f t="shared" si="137"/>
        <v>0</v>
      </c>
      <c r="U1102" s="1">
        <f t="shared" si="138"/>
        <v>0</v>
      </c>
      <c r="V1102" s="1">
        <f t="shared" si="139"/>
        <v>0</v>
      </c>
      <c r="W1102" s="1">
        <f t="shared" si="140"/>
        <v>0</v>
      </c>
      <c r="X1102" s="1">
        <f t="shared" si="141"/>
        <v>0</v>
      </c>
      <c r="Y1102" s="1">
        <f t="shared" si="142"/>
        <v>0</v>
      </c>
      <c r="Z1102" s="1">
        <f t="shared" si="143"/>
        <v>0</v>
      </c>
      <c r="AA1102" s="1">
        <f t="shared" si="144"/>
        <v>0</v>
      </c>
    </row>
    <row r="1103" spans="2:27" x14ac:dyDescent="0.3">
      <c r="B1103" s="12"/>
      <c r="I1103" s="14"/>
      <c r="J1103" s="13"/>
      <c r="T1103" s="1">
        <f t="shared" si="137"/>
        <v>0</v>
      </c>
      <c r="U1103" s="1">
        <f t="shared" si="138"/>
        <v>0</v>
      </c>
      <c r="V1103" s="1">
        <f t="shared" si="139"/>
        <v>0</v>
      </c>
      <c r="W1103" s="1">
        <f t="shared" si="140"/>
        <v>0</v>
      </c>
      <c r="X1103" s="1">
        <f t="shared" si="141"/>
        <v>0</v>
      </c>
      <c r="Y1103" s="1">
        <f t="shared" si="142"/>
        <v>0</v>
      </c>
      <c r="Z1103" s="1">
        <f t="shared" si="143"/>
        <v>0</v>
      </c>
      <c r="AA1103" s="1">
        <f t="shared" si="144"/>
        <v>0</v>
      </c>
    </row>
    <row r="1104" spans="2:27" x14ac:dyDescent="0.3">
      <c r="B1104" s="12"/>
      <c r="J1104" s="13"/>
      <c r="T1104" s="1">
        <f t="shared" si="137"/>
        <v>0</v>
      </c>
      <c r="U1104" s="1">
        <f t="shared" si="138"/>
        <v>0</v>
      </c>
      <c r="V1104" s="1">
        <f t="shared" si="139"/>
        <v>0</v>
      </c>
      <c r="W1104" s="1">
        <f t="shared" si="140"/>
        <v>0</v>
      </c>
      <c r="X1104" s="1">
        <f t="shared" si="141"/>
        <v>0</v>
      </c>
      <c r="Y1104" s="1">
        <f t="shared" si="142"/>
        <v>0</v>
      </c>
      <c r="Z1104" s="1">
        <f t="shared" si="143"/>
        <v>0</v>
      </c>
      <c r="AA1104" s="1">
        <f t="shared" si="144"/>
        <v>0</v>
      </c>
    </row>
    <row r="1105" spans="2:27" x14ac:dyDescent="0.3">
      <c r="B1105" s="12"/>
      <c r="J1105" s="13"/>
      <c r="T1105" s="1">
        <f t="shared" si="137"/>
        <v>0</v>
      </c>
      <c r="U1105" s="1">
        <f t="shared" si="138"/>
        <v>0</v>
      </c>
      <c r="V1105" s="1">
        <f t="shared" si="139"/>
        <v>0</v>
      </c>
      <c r="W1105" s="1">
        <f t="shared" si="140"/>
        <v>0</v>
      </c>
      <c r="X1105" s="1">
        <f t="shared" si="141"/>
        <v>0</v>
      </c>
      <c r="Y1105" s="1">
        <f t="shared" si="142"/>
        <v>0</v>
      </c>
      <c r="Z1105" s="1">
        <f t="shared" si="143"/>
        <v>0</v>
      </c>
      <c r="AA1105" s="1">
        <f t="shared" si="144"/>
        <v>0</v>
      </c>
    </row>
    <row r="1106" spans="2:27" x14ac:dyDescent="0.3">
      <c r="B1106" s="12"/>
      <c r="J1106" s="13"/>
      <c r="T1106" s="1">
        <f t="shared" si="137"/>
        <v>0</v>
      </c>
      <c r="U1106" s="1">
        <f t="shared" si="138"/>
        <v>0</v>
      </c>
      <c r="V1106" s="1">
        <f t="shared" si="139"/>
        <v>0</v>
      </c>
      <c r="W1106" s="1">
        <f t="shared" si="140"/>
        <v>0</v>
      </c>
      <c r="X1106" s="1">
        <f t="shared" si="141"/>
        <v>0</v>
      </c>
      <c r="Y1106" s="1">
        <f t="shared" si="142"/>
        <v>0</v>
      </c>
      <c r="Z1106" s="1">
        <f t="shared" si="143"/>
        <v>0</v>
      </c>
      <c r="AA1106" s="1">
        <f t="shared" si="144"/>
        <v>0</v>
      </c>
    </row>
    <row r="1107" spans="2:27" x14ac:dyDescent="0.3">
      <c r="B1107" s="12"/>
      <c r="J1107" s="13"/>
      <c r="T1107" s="1">
        <f t="shared" si="137"/>
        <v>0</v>
      </c>
      <c r="U1107" s="1">
        <f t="shared" si="138"/>
        <v>0</v>
      </c>
      <c r="V1107" s="1">
        <f t="shared" si="139"/>
        <v>0</v>
      </c>
      <c r="W1107" s="1">
        <f t="shared" si="140"/>
        <v>0</v>
      </c>
      <c r="X1107" s="1">
        <f t="shared" si="141"/>
        <v>0</v>
      </c>
      <c r="Y1107" s="1">
        <f t="shared" si="142"/>
        <v>0</v>
      </c>
      <c r="Z1107" s="1">
        <f t="shared" si="143"/>
        <v>0</v>
      </c>
      <c r="AA1107" s="1">
        <f t="shared" si="144"/>
        <v>0</v>
      </c>
    </row>
    <row r="1108" spans="2:27" x14ac:dyDescent="0.3">
      <c r="B1108" s="12"/>
      <c r="J1108" s="13"/>
      <c r="T1108" s="1">
        <f t="shared" si="137"/>
        <v>0</v>
      </c>
      <c r="U1108" s="1">
        <f t="shared" si="138"/>
        <v>0</v>
      </c>
      <c r="V1108" s="1">
        <f t="shared" si="139"/>
        <v>0</v>
      </c>
      <c r="W1108" s="1">
        <f t="shared" si="140"/>
        <v>0</v>
      </c>
      <c r="X1108" s="1">
        <f t="shared" si="141"/>
        <v>0</v>
      </c>
      <c r="Y1108" s="1">
        <f t="shared" si="142"/>
        <v>0</v>
      </c>
      <c r="Z1108" s="1">
        <f t="shared" si="143"/>
        <v>0</v>
      </c>
      <c r="AA1108" s="1">
        <f t="shared" si="144"/>
        <v>0</v>
      </c>
    </row>
    <row r="1109" spans="2:27" x14ac:dyDescent="0.3">
      <c r="B1109" s="12"/>
      <c r="J1109" s="13"/>
      <c r="T1109" s="1">
        <f t="shared" si="137"/>
        <v>0</v>
      </c>
      <c r="U1109" s="1">
        <f t="shared" si="138"/>
        <v>0</v>
      </c>
      <c r="V1109" s="1">
        <f t="shared" si="139"/>
        <v>0</v>
      </c>
      <c r="W1109" s="1">
        <f t="shared" si="140"/>
        <v>0</v>
      </c>
      <c r="X1109" s="1">
        <f t="shared" si="141"/>
        <v>0</v>
      </c>
      <c r="Y1109" s="1">
        <f t="shared" si="142"/>
        <v>0</v>
      </c>
      <c r="Z1109" s="1">
        <f t="shared" si="143"/>
        <v>0</v>
      </c>
      <c r="AA1109" s="1">
        <f t="shared" si="144"/>
        <v>0</v>
      </c>
    </row>
    <row r="1110" spans="2:27" x14ac:dyDescent="0.3">
      <c r="B1110" s="12"/>
      <c r="J1110" s="13"/>
      <c r="T1110" s="1">
        <f t="shared" si="137"/>
        <v>0</v>
      </c>
      <c r="U1110" s="1">
        <f t="shared" si="138"/>
        <v>0</v>
      </c>
      <c r="V1110" s="1">
        <f t="shared" si="139"/>
        <v>0</v>
      </c>
      <c r="W1110" s="1">
        <f t="shared" si="140"/>
        <v>0</v>
      </c>
      <c r="X1110" s="1">
        <f t="shared" si="141"/>
        <v>0</v>
      </c>
      <c r="Y1110" s="1">
        <f t="shared" si="142"/>
        <v>0</v>
      </c>
      <c r="Z1110" s="1">
        <f t="shared" si="143"/>
        <v>0</v>
      </c>
      <c r="AA1110" s="1">
        <f t="shared" si="144"/>
        <v>0</v>
      </c>
    </row>
    <row r="1111" spans="2:27" x14ac:dyDescent="0.3">
      <c r="B1111" s="12"/>
      <c r="J1111" s="13"/>
      <c r="T1111" s="1">
        <f t="shared" si="137"/>
        <v>0</v>
      </c>
      <c r="U1111" s="1">
        <f t="shared" si="138"/>
        <v>0</v>
      </c>
      <c r="V1111" s="1">
        <f t="shared" si="139"/>
        <v>0</v>
      </c>
      <c r="W1111" s="1">
        <f t="shared" si="140"/>
        <v>0</v>
      </c>
      <c r="X1111" s="1">
        <f t="shared" si="141"/>
        <v>0</v>
      </c>
      <c r="Y1111" s="1">
        <f t="shared" si="142"/>
        <v>0</v>
      </c>
      <c r="Z1111" s="1">
        <f t="shared" si="143"/>
        <v>0</v>
      </c>
      <c r="AA1111" s="1">
        <f t="shared" si="144"/>
        <v>0</v>
      </c>
    </row>
    <row r="1112" spans="2:27" x14ac:dyDescent="0.3">
      <c r="B1112" s="12"/>
      <c r="J1112" s="13"/>
      <c r="T1112" s="1">
        <f t="shared" si="137"/>
        <v>0</v>
      </c>
      <c r="U1112" s="1">
        <f t="shared" si="138"/>
        <v>0</v>
      </c>
      <c r="V1112" s="1">
        <f t="shared" si="139"/>
        <v>0</v>
      </c>
      <c r="W1112" s="1">
        <f t="shared" si="140"/>
        <v>0</v>
      </c>
      <c r="X1112" s="1">
        <f t="shared" si="141"/>
        <v>0</v>
      </c>
      <c r="Y1112" s="1">
        <f t="shared" si="142"/>
        <v>0</v>
      </c>
      <c r="Z1112" s="1">
        <f t="shared" si="143"/>
        <v>0</v>
      </c>
      <c r="AA1112" s="1">
        <f t="shared" si="144"/>
        <v>0</v>
      </c>
    </row>
    <row r="1113" spans="2:27" x14ac:dyDescent="0.3">
      <c r="B1113" s="12"/>
      <c r="J1113" s="13"/>
      <c r="T1113" s="1">
        <f t="shared" si="137"/>
        <v>0</v>
      </c>
      <c r="U1113" s="1">
        <f t="shared" si="138"/>
        <v>0</v>
      </c>
      <c r="V1113" s="1">
        <f t="shared" si="139"/>
        <v>0</v>
      </c>
      <c r="W1113" s="1">
        <f t="shared" si="140"/>
        <v>0</v>
      </c>
      <c r="X1113" s="1">
        <f t="shared" si="141"/>
        <v>0</v>
      </c>
      <c r="Y1113" s="1">
        <f t="shared" si="142"/>
        <v>0</v>
      </c>
      <c r="Z1113" s="1">
        <f t="shared" si="143"/>
        <v>0</v>
      </c>
      <c r="AA1113" s="1">
        <f t="shared" si="144"/>
        <v>0</v>
      </c>
    </row>
    <row r="1114" spans="2:27" x14ac:dyDescent="0.3">
      <c r="B1114" s="12"/>
      <c r="J1114" s="13"/>
      <c r="T1114" s="1">
        <f t="shared" si="137"/>
        <v>0</v>
      </c>
      <c r="U1114" s="1">
        <f t="shared" si="138"/>
        <v>0</v>
      </c>
      <c r="V1114" s="1">
        <f t="shared" si="139"/>
        <v>0</v>
      </c>
      <c r="W1114" s="1">
        <f t="shared" si="140"/>
        <v>0</v>
      </c>
      <c r="X1114" s="1">
        <f t="shared" si="141"/>
        <v>0</v>
      </c>
      <c r="Y1114" s="1">
        <f t="shared" si="142"/>
        <v>0</v>
      </c>
      <c r="Z1114" s="1">
        <f t="shared" si="143"/>
        <v>0</v>
      </c>
      <c r="AA1114" s="1">
        <f t="shared" si="144"/>
        <v>0</v>
      </c>
    </row>
    <row r="1115" spans="2:27" x14ac:dyDescent="0.3">
      <c r="B1115" s="12"/>
      <c r="J1115" s="13"/>
      <c r="T1115" s="1">
        <f t="shared" si="137"/>
        <v>0</v>
      </c>
      <c r="U1115" s="1">
        <f t="shared" si="138"/>
        <v>0</v>
      </c>
      <c r="V1115" s="1">
        <f t="shared" si="139"/>
        <v>0</v>
      </c>
      <c r="W1115" s="1">
        <f t="shared" si="140"/>
        <v>0</v>
      </c>
      <c r="X1115" s="1">
        <f t="shared" si="141"/>
        <v>0</v>
      </c>
      <c r="Y1115" s="1">
        <f t="shared" si="142"/>
        <v>0</v>
      </c>
      <c r="Z1115" s="1">
        <f t="shared" si="143"/>
        <v>0</v>
      </c>
      <c r="AA1115" s="1">
        <f t="shared" si="144"/>
        <v>0</v>
      </c>
    </row>
    <row r="1116" spans="2:27" x14ac:dyDescent="0.3">
      <c r="B1116" s="12"/>
      <c r="J1116" s="13"/>
      <c r="T1116" s="1">
        <f t="shared" si="137"/>
        <v>0</v>
      </c>
      <c r="U1116" s="1">
        <f t="shared" si="138"/>
        <v>0</v>
      </c>
      <c r="V1116" s="1">
        <f t="shared" si="139"/>
        <v>0</v>
      </c>
      <c r="W1116" s="1">
        <f t="shared" si="140"/>
        <v>0</v>
      </c>
      <c r="X1116" s="1">
        <f t="shared" si="141"/>
        <v>0</v>
      </c>
      <c r="Y1116" s="1">
        <f t="shared" si="142"/>
        <v>0</v>
      </c>
      <c r="Z1116" s="1">
        <f t="shared" si="143"/>
        <v>0</v>
      </c>
      <c r="AA1116" s="1">
        <f t="shared" si="144"/>
        <v>0</v>
      </c>
    </row>
    <row r="1117" spans="2:27" x14ac:dyDescent="0.3">
      <c r="B1117" s="12"/>
      <c r="J1117" s="13"/>
      <c r="T1117" s="1">
        <f t="shared" si="137"/>
        <v>0</v>
      </c>
      <c r="U1117" s="1">
        <f t="shared" si="138"/>
        <v>0</v>
      </c>
      <c r="V1117" s="1">
        <f t="shared" si="139"/>
        <v>0</v>
      </c>
      <c r="W1117" s="1">
        <f t="shared" si="140"/>
        <v>0</v>
      </c>
      <c r="X1117" s="1">
        <f t="shared" si="141"/>
        <v>0</v>
      </c>
      <c r="Y1117" s="1">
        <f t="shared" si="142"/>
        <v>0</v>
      </c>
      <c r="Z1117" s="1">
        <f t="shared" si="143"/>
        <v>0</v>
      </c>
      <c r="AA1117" s="1">
        <f t="shared" si="144"/>
        <v>0</v>
      </c>
    </row>
    <row r="1118" spans="2:27" x14ac:dyDescent="0.3">
      <c r="B1118" s="12"/>
      <c r="J1118" s="13"/>
      <c r="T1118" s="1">
        <f t="shared" si="137"/>
        <v>0</v>
      </c>
      <c r="U1118" s="1">
        <f t="shared" si="138"/>
        <v>0</v>
      </c>
      <c r="V1118" s="1">
        <f t="shared" si="139"/>
        <v>0</v>
      </c>
      <c r="W1118" s="1">
        <f t="shared" si="140"/>
        <v>0</v>
      </c>
      <c r="X1118" s="1">
        <f t="shared" si="141"/>
        <v>0</v>
      </c>
      <c r="Y1118" s="1">
        <f t="shared" si="142"/>
        <v>0</v>
      </c>
      <c r="Z1118" s="1">
        <f t="shared" si="143"/>
        <v>0</v>
      </c>
      <c r="AA1118" s="1">
        <f t="shared" si="144"/>
        <v>0</v>
      </c>
    </row>
    <row r="1119" spans="2:27" x14ac:dyDescent="0.3">
      <c r="B1119" s="12"/>
      <c r="J1119" s="13"/>
      <c r="T1119" s="1">
        <f t="shared" si="137"/>
        <v>0</v>
      </c>
      <c r="U1119" s="1">
        <f t="shared" si="138"/>
        <v>0</v>
      </c>
      <c r="V1119" s="1">
        <f t="shared" si="139"/>
        <v>0</v>
      </c>
      <c r="W1119" s="1">
        <f t="shared" si="140"/>
        <v>0</v>
      </c>
      <c r="X1119" s="1">
        <f t="shared" si="141"/>
        <v>0</v>
      </c>
      <c r="Y1119" s="1">
        <f t="shared" si="142"/>
        <v>0</v>
      </c>
      <c r="Z1119" s="1">
        <f t="shared" si="143"/>
        <v>0</v>
      </c>
      <c r="AA1119" s="1">
        <f t="shared" si="144"/>
        <v>0</v>
      </c>
    </row>
    <row r="1120" spans="2:27" x14ac:dyDescent="0.3">
      <c r="B1120" s="12"/>
      <c r="J1120" s="13"/>
      <c r="T1120" s="1">
        <f t="shared" si="137"/>
        <v>0</v>
      </c>
      <c r="U1120" s="1">
        <f t="shared" si="138"/>
        <v>0</v>
      </c>
      <c r="V1120" s="1">
        <f t="shared" si="139"/>
        <v>0</v>
      </c>
      <c r="W1120" s="1">
        <f t="shared" si="140"/>
        <v>0</v>
      </c>
      <c r="X1120" s="1">
        <f t="shared" si="141"/>
        <v>0</v>
      </c>
      <c r="Y1120" s="1">
        <f t="shared" si="142"/>
        <v>0</v>
      </c>
      <c r="Z1120" s="1">
        <f t="shared" si="143"/>
        <v>0</v>
      </c>
      <c r="AA1120" s="1">
        <f t="shared" si="144"/>
        <v>0</v>
      </c>
    </row>
    <row r="1121" spans="2:27" x14ac:dyDescent="0.3">
      <c r="B1121" s="12"/>
      <c r="J1121" s="13"/>
      <c r="T1121" s="1">
        <f t="shared" si="137"/>
        <v>0</v>
      </c>
      <c r="U1121" s="1">
        <f t="shared" si="138"/>
        <v>0</v>
      </c>
      <c r="V1121" s="1">
        <f t="shared" si="139"/>
        <v>0</v>
      </c>
      <c r="W1121" s="1">
        <f t="shared" si="140"/>
        <v>0</v>
      </c>
      <c r="X1121" s="1">
        <f t="shared" si="141"/>
        <v>0</v>
      </c>
      <c r="Y1121" s="1">
        <f t="shared" si="142"/>
        <v>0</v>
      </c>
      <c r="Z1121" s="1">
        <f t="shared" si="143"/>
        <v>0</v>
      </c>
      <c r="AA1121" s="1">
        <f t="shared" si="144"/>
        <v>0</v>
      </c>
    </row>
    <row r="1122" spans="2:27" x14ac:dyDescent="0.3">
      <c r="B1122" s="12"/>
      <c r="J1122" s="13"/>
      <c r="T1122" s="1">
        <f t="shared" si="137"/>
        <v>0</v>
      </c>
      <c r="U1122" s="1">
        <f t="shared" si="138"/>
        <v>0</v>
      </c>
      <c r="V1122" s="1">
        <f t="shared" si="139"/>
        <v>0</v>
      </c>
      <c r="W1122" s="1">
        <f t="shared" si="140"/>
        <v>0</v>
      </c>
      <c r="X1122" s="1">
        <f t="shared" si="141"/>
        <v>0</v>
      </c>
      <c r="Y1122" s="1">
        <f t="shared" si="142"/>
        <v>0</v>
      </c>
      <c r="Z1122" s="1">
        <f t="shared" si="143"/>
        <v>0</v>
      </c>
      <c r="AA1122" s="1">
        <f t="shared" si="144"/>
        <v>0</v>
      </c>
    </row>
    <row r="1123" spans="2:27" x14ac:dyDescent="0.3">
      <c r="B1123" s="12"/>
      <c r="J1123" s="13"/>
      <c r="T1123" s="1">
        <f t="shared" si="137"/>
        <v>0</v>
      </c>
      <c r="U1123" s="1">
        <f t="shared" si="138"/>
        <v>0</v>
      </c>
      <c r="V1123" s="1">
        <f t="shared" si="139"/>
        <v>0</v>
      </c>
      <c r="W1123" s="1">
        <f t="shared" si="140"/>
        <v>0</v>
      </c>
      <c r="X1123" s="1">
        <f t="shared" si="141"/>
        <v>0</v>
      </c>
      <c r="Y1123" s="1">
        <f t="shared" si="142"/>
        <v>0</v>
      </c>
      <c r="Z1123" s="1">
        <f t="shared" si="143"/>
        <v>0</v>
      </c>
      <c r="AA1123" s="1">
        <f t="shared" si="144"/>
        <v>0</v>
      </c>
    </row>
    <row r="1124" spans="2:27" x14ac:dyDescent="0.3">
      <c r="B1124" s="12"/>
      <c r="J1124" s="13"/>
      <c r="T1124" s="1">
        <f t="shared" si="137"/>
        <v>0</v>
      </c>
      <c r="U1124" s="1">
        <f t="shared" si="138"/>
        <v>0</v>
      </c>
      <c r="V1124" s="1">
        <f t="shared" si="139"/>
        <v>0</v>
      </c>
      <c r="W1124" s="1">
        <f t="shared" si="140"/>
        <v>0</v>
      </c>
      <c r="X1124" s="1">
        <f t="shared" si="141"/>
        <v>0</v>
      </c>
      <c r="Y1124" s="1">
        <f t="shared" si="142"/>
        <v>0</v>
      </c>
      <c r="Z1124" s="1">
        <f t="shared" si="143"/>
        <v>0</v>
      </c>
      <c r="AA1124" s="1">
        <f t="shared" si="144"/>
        <v>0</v>
      </c>
    </row>
    <row r="1125" spans="2:27" x14ac:dyDescent="0.3">
      <c r="B1125" s="12"/>
      <c r="J1125" s="13"/>
      <c r="T1125" s="1">
        <f t="shared" si="137"/>
        <v>0</v>
      </c>
      <c r="U1125" s="1">
        <f t="shared" si="138"/>
        <v>0</v>
      </c>
      <c r="V1125" s="1">
        <f t="shared" si="139"/>
        <v>0</v>
      </c>
      <c r="W1125" s="1">
        <f t="shared" si="140"/>
        <v>0</v>
      </c>
      <c r="X1125" s="1">
        <f t="shared" si="141"/>
        <v>0</v>
      </c>
      <c r="Y1125" s="1">
        <f t="shared" si="142"/>
        <v>0</v>
      </c>
      <c r="Z1125" s="1">
        <f t="shared" si="143"/>
        <v>0</v>
      </c>
      <c r="AA1125" s="1">
        <f t="shared" si="144"/>
        <v>0</v>
      </c>
    </row>
    <row r="1126" spans="2:27" x14ac:dyDescent="0.3">
      <c r="B1126" s="12"/>
      <c r="J1126" s="13"/>
      <c r="T1126" s="1">
        <f t="shared" si="137"/>
        <v>0</v>
      </c>
      <c r="U1126" s="1">
        <f t="shared" si="138"/>
        <v>0</v>
      </c>
      <c r="V1126" s="1">
        <f t="shared" si="139"/>
        <v>0</v>
      </c>
      <c r="W1126" s="1">
        <f t="shared" si="140"/>
        <v>0</v>
      </c>
      <c r="X1126" s="1">
        <f t="shared" si="141"/>
        <v>0</v>
      </c>
      <c r="Y1126" s="1">
        <f t="shared" si="142"/>
        <v>0</v>
      </c>
      <c r="Z1126" s="1">
        <f t="shared" si="143"/>
        <v>0</v>
      </c>
      <c r="AA1126" s="1">
        <f t="shared" si="144"/>
        <v>0</v>
      </c>
    </row>
    <row r="1127" spans="2:27" x14ac:dyDescent="0.3">
      <c r="B1127" s="12"/>
      <c r="J1127" s="13"/>
      <c r="T1127" s="1">
        <f t="shared" si="137"/>
        <v>0</v>
      </c>
      <c r="U1127" s="1">
        <f t="shared" si="138"/>
        <v>0</v>
      </c>
      <c r="V1127" s="1">
        <f t="shared" si="139"/>
        <v>0</v>
      </c>
      <c r="W1127" s="1">
        <f t="shared" si="140"/>
        <v>0</v>
      </c>
      <c r="X1127" s="1">
        <f t="shared" si="141"/>
        <v>0</v>
      </c>
      <c r="Y1127" s="1">
        <f t="shared" si="142"/>
        <v>0</v>
      </c>
      <c r="Z1127" s="1">
        <f t="shared" si="143"/>
        <v>0</v>
      </c>
      <c r="AA1127" s="1">
        <f t="shared" si="144"/>
        <v>0</v>
      </c>
    </row>
    <row r="1128" spans="2:27" x14ac:dyDescent="0.3">
      <c r="B1128" s="12"/>
      <c r="J1128" s="13"/>
      <c r="T1128" s="1">
        <f t="shared" si="137"/>
        <v>0</v>
      </c>
      <c r="U1128" s="1">
        <f t="shared" si="138"/>
        <v>0</v>
      </c>
      <c r="V1128" s="1">
        <f t="shared" si="139"/>
        <v>0</v>
      </c>
      <c r="W1128" s="1">
        <f t="shared" si="140"/>
        <v>0</v>
      </c>
      <c r="X1128" s="1">
        <f t="shared" si="141"/>
        <v>0</v>
      </c>
      <c r="Y1128" s="1">
        <f t="shared" si="142"/>
        <v>0</v>
      </c>
      <c r="Z1128" s="1">
        <f t="shared" si="143"/>
        <v>0</v>
      </c>
      <c r="AA1128" s="1">
        <f t="shared" si="144"/>
        <v>0</v>
      </c>
    </row>
    <row r="1129" spans="2:27" x14ac:dyDescent="0.3">
      <c r="B1129" s="12"/>
      <c r="J1129" s="13"/>
      <c r="T1129" s="1">
        <f t="shared" si="137"/>
        <v>0</v>
      </c>
      <c r="U1129" s="1">
        <f t="shared" si="138"/>
        <v>0</v>
      </c>
      <c r="V1129" s="1">
        <f t="shared" si="139"/>
        <v>0</v>
      </c>
      <c r="W1129" s="1">
        <f t="shared" si="140"/>
        <v>0</v>
      </c>
      <c r="X1129" s="1">
        <f t="shared" si="141"/>
        <v>0</v>
      </c>
      <c r="Y1129" s="1">
        <f t="shared" si="142"/>
        <v>0</v>
      </c>
      <c r="Z1129" s="1">
        <f t="shared" si="143"/>
        <v>0</v>
      </c>
      <c r="AA1129" s="1">
        <f t="shared" si="144"/>
        <v>0</v>
      </c>
    </row>
    <row r="1130" spans="2:27" x14ac:dyDescent="0.3">
      <c r="B1130" s="12"/>
      <c r="J1130" s="13"/>
      <c r="T1130" s="1">
        <f t="shared" si="137"/>
        <v>0</v>
      </c>
      <c r="U1130" s="1">
        <f t="shared" si="138"/>
        <v>0</v>
      </c>
      <c r="V1130" s="1">
        <f t="shared" si="139"/>
        <v>0</v>
      </c>
      <c r="W1130" s="1">
        <f t="shared" si="140"/>
        <v>0</v>
      </c>
      <c r="X1130" s="1">
        <f t="shared" si="141"/>
        <v>0</v>
      </c>
      <c r="Y1130" s="1">
        <f t="shared" si="142"/>
        <v>0</v>
      </c>
      <c r="Z1130" s="1">
        <f t="shared" si="143"/>
        <v>0</v>
      </c>
      <c r="AA1130" s="1">
        <f t="shared" si="144"/>
        <v>0</v>
      </c>
    </row>
    <row r="1131" spans="2:27" x14ac:dyDescent="0.3">
      <c r="B1131" s="12"/>
      <c r="J1131" s="13"/>
      <c r="T1131" s="1">
        <f t="shared" si="137"/>
        <v>0</v>
      </c>
      <c r="U1131" s="1">
        <f t="shared" si="138"/>
        <v>0</v>
      </c>
      <c r="V1131" s="1">
        <f t="shared" si="139"/>
        <v>0</v>
      </c>
      <c r="W1131" s="1">
        <f t="shared" si="140"/>
        <v>0</v>
      </c>
      <c r="X1131" s="1">
        <f t="shared" si="141"/>
        <v>0</v>
      </c>
      <c r="Y1131" s="1">
        <f t="shared" si="142"/>
        <v>0</v>
      </c>
      <c r="Z1131" s="1">
        <f t="shared" si="143"/>
        <v>0</v>
      </c>
      <c r="AA1131" s="1">
        <f t="shared" si="144"/>
        <v>0</v>
      </c>
    </row>
    <row r="1132" spans="2:27" x14ac:dyDescent="0.3">
      <c r="B1132" s="12"/>
      <c r="J1132" s="13"/>
      <c r="T1132" s="1">
        <f t="shared" si="137"/>
        <v>0</v>
      </c>
      <c r="U1132" s="1">
        <f t="shared" si="138"/>
        <v>0</v>
      </c>
      <c r="V1132" s="1">
        <f t="shared" si="139"/>
        <v>0</v>
      </c>
      <c r="W1132" s="1">
        <f t="shared" si="140"/>
        <v>0</v>
      </c>
      <c r="X1132" s="1">
        <f t="shared" si="141"/>
        <v>0</v>
      </c>
      <c r="Y1132" s="1">
        <f t="shared" si="142"/>
        <v>0</v>
      </c>
      <c r="Z1132" s="1">
        <f t="shared" si="143"/>
        <v>0</v>
      </c>
      <c r="AA1132" s="1">
        <f t="shared" si="144"/>
        <v>0</v>
      </c>
    </row>
    <row r="1133" spans="2:27" x14ac:dyDescent="0.3">
      <c r="B1133" s="12"/>
      <c r="J1133" s="13"/>
      <c r="T1133" s="1">
        <f t="shared" si="137"/>
        <v>0</v>
      </c>
      <c r="U1133" s="1">
        <f t="shared" si="138"/>
        <v>0</v>
      </c>
      <c r="V1133" s="1">
        <f t="shared" si="139"/>
        <v>0</v>
      </c>
      <c r="W1133" s="1">
        <f t="shared" si="140"/>
        <v>0</v>
      </c>
      <c r="X1133" s="1">
        <f t="shared" si="141"/>
        <v>0</v>
      </c>
      <c r="Y1133" s="1">
        <f t="shared" si="142"/>
        <v>0</v>
      </c>
      <c r="Z1133" s="1">
        <f t="shared" si="143"/>
        <v>0</v>
      </c>
      <c r="AA1133" s="1">
        <f t="shared" si="144"/>
        <v>0</v>
      </c>
    </row>
    <row r="1134" spans="2:27" x14ac:dyDescent="0.3">
      <c r="B1134" s="12"/>
      <c r="J1134" s="13"/>
      <c r="T1134" s="1">
        <f t="shared" si="137"/>
        <v>0</v>
      </c>
      <c r="U1134" s="1">
        <f t="shared" si="138"/>
        <v>0</v>
      </c>
      <c r="V1134" s="1">
        <f t="shared" si="139"/>
        <v>0</v>
      </c>
      <c r="W1134" s="1">
        <f t="shared" si="140"/>
        <v>0</v>
      </c>
      <c r="X1134" s="1">
        <f t="shared" si="141"/>
        <v>0</v>
      </c>
      <c r="Y1134" s="1">
        <f t="shared" si="142"/>
        <v>0</v>
      </c>
      <c r="Z1134" s="1">
        <f t="shared" si="143"/>
        <v>0</v>
      </c>
      <c r="AA1134" s="1">
        <f t="shared" si="144"/>
        <v>0</v>
      </c>
    </row>
    <row r="1135" spans="2:27" x14ac:dyDescent="0.3">
      <c r="B1135" s="12"/>
      <c r="J1135" s="13"/>
      <c r="T1135" s="1">
        <f t="shared" si="137"/>
        <v>0</v>
      </c>
      <c r="U1135" s="1">
        <f t="shared" si="138"/>
        <v>0</v>
      </c>
      <c r="V1135" s="1">
        <f t="shared" si="139"/>
        <v>0</v>
      </c>
      <c r="W1135" s="1">
        <f t="shared" si="140"/>
        <v>0</v>
      </c>
      <c r="X1135" s="1">
        <f t="shared" si="141"/>
        <v>0</v>
      </c>
      <c r="Y1135" s="1">
        <f t="shared" si="142"/>
        <v>0</v>
      </c>
      <c r="Z1135" s="1">
        <f t="shared" si="143"/>
        <v>0</v>
      </c>
      <c r="AA1135" s="1">
        <f t="shared" si="144"/>
        <v>0</v>
      </c>
    </row>
    <row r="1136" spans="2:27" x14ac:dyDescent="0.3">
      <c r="B1136" s="12"/>
      <c r="I1136" s="14"/>
      <c r="J1136" s="13"/>
      <c r="T1136" s="1">
        <f t="shared" si="137"/>
        <v>0</v>
      </c>
      <c r="U1136" s="1">
        <f t="shared" si="138"/>
        <v>0</v>
      </c>
      <c r="V1136" s="1">
        <f t="shared" si="139"/>
        <v>0</v>
      </c>
      <c r="W1136" s="1">
        <f t="shared" si="140"/>
        <v>0</v>
      </c>
      <c r="X1136" s="1">
        <f t="shared" si="141"/>
        <v>0</v>
      </c>
      <c r="Y1136" s="1">
        <f t="shared" si="142"/>
        <v>0</v>
      </c>
      <c r="Z1136" s="1">
        <f t="shared" si="143"/>
        <v>0</v>
      </c>
      <c r="AA1136" s="1">
        <f t="shared" si="144"/>
        <v>0</v>
      </c>
    </row>
    <row r="1137" spans="2:27" x14ac:dyDescent="0.3">
      <c r="B1137" s="12"/>
      <c r="I1137" s="14"/>
      <c r="J1137" s="13"/>
      <c r="T1137" s="1">
        <f t="shared" si="137"/>
        <v>0</v>
      </c>
      <c r="U1137" s="1">
        <f t="shared" si="138"/>
        <v>0</v>
      </c>
      <c r="V1137" s="1">
        <f t="shared" si="139"/>
        <v>0</v>
      </c>
      <c r="W1137" s="1">
        <f t="shared" si="140"/>
        <v>0</v>
      </c>
      <c r="X1137" s="1">
        <f t="shared" si="141"/>
        <v>0</v>
      </c>
      <c r="Y1137" s="1">
        <f t="shared" si="142"/>
        <v>0</v>
      </c>
      <c r="Z1137" s="1">
        <f t="shared" si="143"/>
        <v>0</v>
      </c>
      <c r="AA1137" s="1">
        <f t="shared" si="144"/>
        <v>0</v>
      </c>
    </row>
    <row r="1138" spans="2:27" x14ac:dyDescent="0.3">
      <c r="B1138" s="12"/>
      <c r="I1138" s="14"/>
      <c r="J1138" s="13"/>
      <c r="T1138" s="1">
        <f t="shared" si="137"/>
        <v>0</v>
      </c>
      <c r="U1138" s="1">
        <f t="shared" si="138"/>
        <v>0</v>
      </c>
      <c r="V1138" s="1">
        <f t="shared" si="139"/>
        <v>0</v>
      </c>
      <c r="W1138" s="1">
        <f t="shared" si="140"/>
        <v>0</v>
      </c>
      <c r="X1138" s="1">
        <f t="shared" si="141"/>
        <v>0</v>
      </c>
      <c r="Y1138" s="1">
        <f t="shared" si="142"/>
        <v>0</v>
      </c>
      <c r="Z1138" s="1">
        <f t="shared" si="143"/>
        <v>0</v>
      </c>
      <c r="AA1138" s="1">
        <f t="shared" si="144"/>
        <v>0</v>
      </c>
    </row>
    <row r="1139" spans="2:27" x14ac:dyDescent="0.3">
      <c r="B1139" s="12"/>
      <c r="I1139" s="14"/>
      <c r="J1139" s="13"/>
      <c r="T1139" s="1">
        <f t="shared" si="137"/>
        <v>0</v>
      </c>
      <c r="U1139" s="1">
        <f t="shared" si="138"/>
        <v>0</v>
      </c>
      <c r="V1139" s="1">
        <f t="shared" si="139"/>
        <v>0</v>
      </c>
      <c r="W1139" s="1">
        <f t="shared" si="140"/>
        <v>0</v>
      </c>
      <c r="X1139" s="1">
        <f t="shared" si="141"/>
        <v>0</v>
      </c>
      <c r="Y1139" s="1">
        <f t="shared" si="142"/>
        <v>0</v>
      </c>
      <c r="Z1139" s="1">
        <f t="shared" si="143"/>
        <v>0</v>
      </c>
      <c r="AA1139" s="1">
        <f t="shared" si="144"/>
        <v>0</v>
      </c>
    </row>
    <row r="1140" spans="2:27" x14ac:dyDescent="0.3">
      <c r="B1140" s="12"/>
      <c r="I1140" s="14"/>
      <c r="J1140" s="13"/>
      <c r="T1140" s="1">
        <f t="shared" si="137"/>
        <v>0</v>
      </c>
      <c r="U1140" s="1">
        <f t="shared" si="138"/>
        <v>0</v>
      </c>
      <c r="V1140" s="1">
        <f t="shared" si="139"/>
        <v>0</v>
      </c>
      <c r="W1140" s="1">
        <f t="shared" si="140"/>
        <v>0</v>
      </c>
      <c r="X1140" s="1">
        <f t="shared" si="141"/>
        <v>0</v>
      </c>
      <c r="Y1140" s="1">
        <f t="shared" si="142"/>
        <v>0</v>
      </c>
      <c r="Z1140" s="1">
        <f t="shared" si="143"/>
        <v>0</v>
      </c>
      <c r="AA1140" s="1">
        <f t="shared" si="144"/>
        <v>0</v>
      </c>
    </row>
    <row r="1141" spans="2:27" x14ac:dyDescent="0.3">
      <c r="B1141" s="12"/>
      <c r="I1141" s="14"/>
      <c r="J1141" s="13"/>
      <c r="T1141" s="1">
        <f t="shared" si="137"/>
        <v>0</v>
      </c>
      <c r="U1141" s="1">
        <f t="shared" si="138"/>
        <v>0</v>
      </c>
      <c r="V1141" s="1">
        <f t="shared" si="139"/>
        <v>0</v>
      </c>
      <c r="W1141" s="1">
        <f t="shared" si="140"/>
        <v>0</v>
      </c>
      <c r="X1141" s="1">
        <f t="shared" si="141"/>
        <v>0</v>
      </c>
      <c r="Y1141" s="1">
        <f t="shared" si="142"/>
        <v>0</v>
      </c>
      <c r="Z1141" s="1">
        <f t="shared" si="143"/>
        <v>0</v>
      </c>
      <c r="AA1141" s="1">
        <f t="shared" si="144"/>
        <v>0</v>
      </c>
    </row>
    <row r="1142" spans="2:27" x14ac:dyDescent="0.3">
      <c r="B1142" s="12"/>
      <c r="I1142" s="14"/>
      <c r="J1142" s="13"/>
      <c r="T1142" s="1">
        <f t="shared" si="137"/>
        <v>0</v>
      </c>
      <c r="U1142" s="1">
        <f t="shared" si="138"/>
        <v>0</v>
      </c>
      <c r="V1142" s="1">
        <f t="shared" si="139"/>
        <v>0</v>
      </c>
      <c r="W1142" s="1">
        <f t="shared" si="140"/>
        <v>0</v>
      </c>
      <c r="X1142" s="1">
        <f t="shared" si="141"/>
        <v>0</v>
      </c>
      <c r="Y1142" s="1">
        <f t="shared" si="142"/>
        <v>0</v>
      </c>
      <c r="Z1142" s="1">
        <f t="shared" si="143"/>
        <v>0</v>
      </c>
      <c r="AA1142" s="1">
        <f t="shared" si="144"/>
        <v>0</v>
      </c>
    </row>
    <row r="1143" spans="2:27" x14ac:dyDescent="0.3">
      <c r="B1143" s="12"/>
      <c r="I1143" s="14"/>
      <c r="J1143" s="13"/>
      <c r="T1143" s="1">
        <f t="shared" si="137"/>
        <v>0</v>
      </c>
      <c r="U1143" s="1">
        <f t="shared" si="138"/>
        <v>0</v>
      </c>
      <c r="V1143" s="1">
        <f t="shared" si="139"/>
        <v>0</v>
      </c>
      <c r="W1143" s="1">
        <f t="shared" si="140"/>
        <v>0</v>
      </c>
      <c r="X1143" s="1">
        <f t="shared" si="141"/>
        <v>0</v>
      </c>
      <c r="Y1143" s="1">
        <f t="shared" si="142"/>
        <v>0</v>
      </c>
      <c r="Z1143" s="1">
        <f t="shared" si="143"/>
        <v>0</v>
      </c>
      <c r="AA1143" s="1">
        <f t="shared" si="144"/>
        <v>0</v>
      </c>
    </row>
    <row r="1144" spans="2:27" x14ac:dyDescent="0.3">
      <c r="B1144" s="12"/>
      <c r="I1144" s="14"/>
      <c r="J1144" s="13"/>
      <c r="T1144" s="1">
        <f t="shared" si="137"/>
        <v>0</v>
      </c>
      <c r="U1144" s="1">
        <f t="shared" si="138"/>
        <v>0</v>
      </c>
      <c r="V1144" s="1">
        <f t="shared" si="139"/>
        <v>0</v>
      </c>
      <c r="W1144" s="1">
        <f t="shared" si="140"/>
        <v>0</v>
      </c>
      <c r="X1144" s="1">
        <f t="shared" si="141"/>
        <v>0</v>
      </c>
      <c r="Y1144" s="1">
        <f t="shared" si="142"/>
        <v>0</v>
      </c>
      <c r="Z1144" s="1">
        <f t="shared" si="143"/>
        <v>0</v>
      </c>
      <c r="AA1144" s="1">
        <f t="shared" si="144"/>
        <v>0</v>
      </c>
    </row>
    <row r="1145" spans="2:27" x14ac:dyDescent="0.3">
      <c r="B1145" s="12"/>
      <c r="I1145" s="14"/>
      <c r="J1145" s="13"/>
      <c r="T1145" s="1">
        <f t="shared" si="137"/>
        <v>0</v>
      </c>
      <c r="U1145" s="1">
        <f t="shared" si="138"/>
        <v>0</v>
      </c>
      <c r="V1145" s="1">
        <f t="shared" si="139"/>
        <v>0</v>
      </c>
      <c r="W1145" s="1">
        <f t="shared" si="140"/>
        <v>0</v>
      </c>
      <c r="X1145" s="1">
        <f t="shared" si="141"/>
        <v>0</v>
      </c>
      <c r="Y1145" s="1">
        <f t="shared" si="142"/>
        <v>0</v>
      </c>
      <c r="Z1145" s="1">
        <f t="shared" si="143"/>
        <v>0</v>
      </c>
      <c r="AA1145" s="1">
        <f t="shared" si="144"/>
        <v>0</v>
      </c>
    </row>
    <row r="1146" spans="2:27" x14ac:dyDescent="0.3">
      <c r="B1146" s="12"/>
      <c r="I1146" s="14"/>
      <c r="J1146" s="13"/>
      <c r="T1146" s="1">
        <f t="shared" si="137"/>
        <v>0</v>
      </c>
      <c r="U1146" s="1">
        <f t="shared" si="138"/>
        <v>0</v>
      </c>
      <c r="V1146" s="1">
        <f t="shared" si="139"/>
        <v>0</v>
      </c>
      <c r="W1146" s="1">
        <f t="shared" si="140"/>
        <v>0</v>
      </c>
      <c r="X1146" s="1">
        <f t="shared" si="141"/>
        <v>0</v>
      </c>
      <c r="Y1146" s="1">
        <f t="shared" si="142"/>
        <v>0</v>
      </c>
      <c r="Z1146" s="1">
        <f t="shared" si="143"/>
        <v>0</v>
      </c>
      <c r="AA1146" s="1">
        <f t="shared" si="144"/>
        <v>0</v>
      </c>
    </row>
    <row r="1147" spans="2:27" x14ac:dyDescent="0.3">
      <c r="B1147" s="12"/>
      <c r="I1147" s="14"/>
      <c r="J1147" s="13"/>
      <c r="T1147" s="1">
        <f t="shared" si="137"/>
        <v>0</v>
      </c>
      <c r="U1147" s="1">
        <f t="shared" si="138"/>
        <v>0</v>
      </c>
      <c r="V1147" s="1">
        <f t="shared" si="139"/>
        <v>0</v>
      </c>
      <c r="W1147" s="1">
        <f t="shared" si="140"/>
        <v>0</v>
      </c>
      <c r="X1147" s="1">
        <f t="shared" si="141"/>
        <v>0</v>
      </c>
      <c r="Y1147" s="1">
        <f t="shared" si="142"/>
        <v>0</v>
      </c>
      <c r="Z1147" s="1">
        <f t="shared" si="143"/>
        <v>0</v>
      </c>
      <c r="AA1147" s="1">
        <f t="shared" si="144"/>
        <v>0</v>
      </c>
    </row>
    <row r="1148" spans="2:27" x14ac:dyDescent="0.3">
      <c r="B1148" s="12"/>
      <c r="I1148" s="14"/>
      <c r="J1148" s="13"/>
      <c r="T1148" s="1">
        <f t="shared" si="137"/>
        <v>0</v>
      </c>
      <c r="U1148" s="1">
        <f t="shared" si="138"/>
        <v>0</v>
      </c>
      <c r="V1148" s="1">
        <f t="shared" si="139"/>
        <v>0</v>
      </c>
      <c r="W1148" s="1">
        <f t="shared" si="140"/>
        <v>0</v>
      </c>
      <c r="X1148" s="1">
        <f t="shared" si="141"/>
        <v>0</v>
      </c>
      <c r="Y1148" s="1">
        <f t="shared" si="142"/>
        <v>0</v>
      </c>
      <c r="Z1148" s="1">
        <f t="shared" si="143"/>
        <v>0</v>
      </c>
      <c r="AA1148" s="1">
        <f t="shared" si="144"/>
        <v>0</v>
      </c>
    </row>
    <row r="1149" spans="2:27" x14ac:dyDescent="0.3">
      <c r="B1149" s="12"/>
      <c r="I1149" s="14"/>
      <c r="J1149" s="13"/>
      <c r="T1149" s="1">
        <f t="shared" si="137"/>
        <v>0</v>
      </c>
      <c r="U1149" s="1">
        <f t="shared" si="138"/>
        <v>0</v>
      </c>
      <c r="V1149" s="1">
        <f t="shared" si="139"/>
        <v>0</v>
      </c>
      <c r="W1149" s="1">
        <f t="shared" si="140"/>
        <v>0</v>
      </c>
      <c r="X1149" s="1">
        <f t="shared" si="141"/>
        <v>0</v>
      </c>
      <c r="Y1149" s="1">
        <f t="shared" si="142"/>
        <v>0</v>
      </c>
      <c r="Z1149" s="1">
        <f t="shared" si="143"/>
        <v>0</v>
      </c>
      <c r="AA1149" s="1">
        <f t="shared" si="144"/>
        <v>0</v>
      </c>
    </row>
    <row r="1150" spans="2:27" x14ac:dyDescent="0.3">
      <c r="B1150" s="12"/>
      <c r="I1150" s="14"/>
      <c r="J1150" s="13"/>
      <c r="T1150" s="1">
        <f t="shared" si="137"/>
        <v>0</v>
      </c>
      <c r="U1150" s="1">
        <f t="shared" si="138"/>
        <v>0</v>
      </c>
      <c r="V1150" s="1">
        <f t="shared" si="139"/>
        <v>0</v>
      </c>
      <c r="W1150" s="1">
        <f t="shared" si="140"/>
        <v>0</v>
      </c>
      <c r="X1150" s="1">
        <f t="shared" si="141"/>
        <v>0</v>
      </c>
      <c r="Y1150" s="1">
        <f t="shared" si="142"/>
        <v>0</v>
      </c>
      <c r="Z1150" s="1">
        <f t="shared" si="143"/>
        <v>0</v>
      </c>
      <c r="AA1150" s="1">
        <f t="shared" si="144"/>
        <v>0</v>
      </c>
    </row>
    <row r="1151" spans="2:27" x14ac:dyDescent="0.3">
      <c r="B1151" s="12"/>
      <c r="I1151" s="14"/>
      <c r="J1151" s="13"/>
      <c r="T1151" s="1">
        <f t="shared" si="137"/>
        <v>0</v>
      </c>
      <c r="U1151" s="1">
        <f t="shared" si="138"/>
        <v>0</v>
      </c>
      <c r="V1151" s="1">
        <f t="shared" si="139"/>
        <v>0</v>
      </c>
      <c r="W1151" s="1">
        <f t="shared" si="140"/>
        <v>0</v>
      </c>
      <c r="X1151" s="1">
        <f t="shared" si="141"/>
        <v>0</v>
      </c>
      <c r="Y1151" s="1">
        <f t="shared" si="142"/>
        <v>0</v>
      </c>
      <c r="Z1151" s="1">
        <f t="shared" si="143"/>
        <v>0</v>
      </c>
      <c r="AA1151" s="1">
        <f t="shared" si="144"/>
        <v>0</v>
      </c>
    </row>
    <row r="1152" spans="2:27" x14ac:dyDescent="0.3">
      <c r="B1152" s="12"/>
      <c r="I1152" s="14"/>
      <c r="J1152" s="13"/>
      <c r="T1152" s="1">
        <f t="shared" si="137"/>
        <v>0</v>
      </c>
      <c r="U1152" s="1">
        <f t="shared" si="138"/>
        <v>0</v>
      </c>
      <c r="V1152" s="1">
        <f t="shared" si="139"/>
        <v>0</v>
      </c>
      <c r="W1152" s="1">
        <f t="shared" si="140"/>
        <v>0</v>
      </c>
      <c r="X1152" s="1">
        <f t="shared" si="141"/>
        <v>0</v>
      </c>
      <c r="Y1152" s="1">
        <f t="shared" si="142"/>
        <v>0</v>
      </c>
      <c r="Z1152" s="1">
        <f t="shared" si="143"/>
        <v>0</v>
      </c>
      <c r="AA1152" s="1">
        <f t="shared" si="144"/>
        <v>0</v>
      </c>
    </row>
    <row r="1153" spans="2:27" x14ac:dyDescent="0.3">
      <c r="B1153" s="12"/>
      <c r="I1153" s="14"/>
      <c r="J1153" s="13"/>
      <c r="T1153" s="1">
        <f t="shared" si="137"/>
        <v>0</v>
      </c>
      <c r="U1153" s="1">
        <f t="shared" si="138"/>
        <v>0</v>
      </c>
      <c r="V1153" s="1">
        <f t="shared" si="139"/>
        <v>0</v>
      </c>
      <c r="W1153" s="1">
        <f t="shared" si="140"/>
        <v>0</v>
      </c>
      <c r="X1153" s="1">
        <f t="shared" si="141"/>
        <v>0</v>
      </c>
      <c r="Y1153" s="1">
        <f t="shared" si="142"/>
        <v>0</v>
      </c>
      <c r="Z1153" s="1">
        <f t="shared" si="143"/>
        <v>0</v>
      </c>
      <c r="AA1153" s="1">
        <f t="shared" si="144"/>
        <v>0</v>
      </c>
    </row>
    <row r="1154" spans="2:27" x14ac:dyDescent="0.3">
      <c r="B1154" s="12"/>
      <c r="I1154" s="14"/>
      <c r="J1154" s="13"/>
      <c r="T1154" s="1">
        <f t="shared" si="137"/>
        <v>0</v>
      </c>
      <c r="U1154" s="1">
        <f t="shared" si="138"/>
        <v>0</v>
      </c>
      <c r="V1154" s="1">
        <f t="shared" si="139"/>
        <v>0</v>
      </c>
      <c r="W1154" s="1">
        <f t="shared" si="140"/>
        <v>0</v>
      </c>
      <c r="X1154" s="1">
        <f t="shared" si="141"/>
        <v>0</v>
      </c>
      <c r="Y1154" s="1">
        <f t="shared" si="142"/>
        <v>0</v>
      </c>
      <c r="Z1154" s="1">
        <f t="shared" si="143"/>
        <v>0</v>
      </c>
      <c r="AA1154" s="1">
        <f t="shared" si="144"/>
        <v>0</v>
      </c>
    </row>
    <row r="1155" spans="2:27" x14ac:dyDescent="0.3">
      <c r="B1155" s="12"/>
      <c r="I1155" s="14"/>
      <c r="J1155" s="13"/>
      <c r="T1155" s="1">
        <f t="shared" si="137"/>
        <v>0</v>
      </c>
      <c r="U1155" s="1">
        <f t="shared" si="138"/>
        <v>0</v>
      </c>
      <c r="V1155" s="1">
        <f t="shared" si="139"/>
        <v>0</v>
      </c>
      <c r="W1155" s="1">
        <f t="shared" si="140"/>
        <v>0</v>
      </c>
      <c r="X1155" s="1">
        <f t="shared" si="141"/>
        <v>0</v>
      </c>
      <c r="Y1155" s="1">
        <f t="shared" si="142"/>
        <v>0</v>
      </c>
      <c r="Z1155" s="1">
        <f t="shared" si="143"/>
        <v>0</v>
      </c>
      <c r="AA1155" s="1">
        <f t="shared" si="144"/>
        <v>0</v>
      </c>
    </row>
    <row r="1156" spans="2:27" x14ac:dyDescent="0.3">
      <c r="B1156" s="12"/>
      <c r="I1156" s="14"/>
      <c r="J1156" s="13"/>
      <c r="T1156" s="1">
        <f t="shared" si="137"/>
        <v>0</v>
      </c>
      <c r="U1156" s="1">
        <f t="shared" si="138"/>
        <v>0</v>
      </c>
      <c r="V1156" s="1">
        <f t="shared" si="139"/>
        <v>0</v>
      </c>
      <c r="W1156" s="1">
        <f t="shared" si="140"/>
        <v>0</v>
      </c>
      <c r="X1156" s="1">
        <f t="shared" si="141"/>
        <v>0</v>
      </c>
      <c r="Y1156" s="1">
        <f t="shared" si="142"/>
        <v>0</v>
      </c>
      <c r="Z1156" s="1">
        <f t="shared" si="143"/>
        <v>0</v>
      </c>
      <c r="AA1156" s="1">
        <f t="shared" si="144"/>
        <v>0</v>
      </c>
    </row>
    <row r="1157" spans="2:27" x14ac:dyDescent="0.3">
      <c r="B1157" s="12"/>
      <c r="I1157" s="14"/>
      <c r="J1157" s="13"/>
      <c r="T1157" s="1">
        <f t="shared" si="137"/>
        <v>0</v>
      </c>
      <c r="U1157" s="1">
        <f t="shared" si="138"/>
        <v>0</v>
      </c>
      <c r="V1157" s="1">
        <f t="shared" si="139"/>
        <v>0</v>
      </c>
      <c r="W1157" s="1">
        <f t="shared" si="140"/>
        <v>0</v>
      </c>
      <c r="X1157" s="1">
        <f t="shared" si="141"/>
        <v>0</v>
      </c>
      <c r="Y1157" s="1">
        <f t="shared" si="142"/>
        <v>0</v>
      </c>
      <c r="Z1157" s="1">
        <f t="shared" si="143"/>
        <v>0</v>
      </c>
      <c r="AA1157" s="1">
        <f t="shared" si="144"/>
        <v>0</v>
      </c>
    </row>
    <row r="1158" spans="2:27" x14ac:dyDescent="0.3">
      <c r="B1158" s="12"/>
      <c r="I1158" s="14"/>
      <c r="J1158" s="13"/>
      <c r="T1158" s="1">
        <f t="shared" si="137"/>
        <v>0</v>
      </c>
      <c r="U1158" s="1">
        <f t="shared" si="138"/>
        <v>0</v>
      </c>
      <c r="V1158" s="1">
        <f t="shared" si="139"/>
        <v>0</v>
      </c>
      <c r="W1158" s="1">
        <f t="shared" si="140"/>
        <v>0</v>
      </c>
      <c r="X1158" s="1">
        <f t="shared" si="141"/>
        <v>0</v>
      </c>
      <c r="Y1158" s="1">
        <f t="shared" si="142"/>
        <v>0</v>
      </c>
      <c r="Z1158" s="1">
        <f t="shared" si="143"/>
        <v>0</v>
      </c>
      <c r="AA1158" s="1">
        <f t="shared" si="144"/>
        <v>0</v>
      </c>
    </row>
    <row r="1159" spans="2:27" x14ac:dyDescent="0.3">
      <c r="B1159" s="12"/>
      <c r="I1159" s="14"/>
      <c r="J1159" s="13"/>
      <c r="T1159" s="1">
        <f t="shared" ref="T1159:T1222" si="145">IF(AND(G1159="-"),0,G1159*F1159)</f>
        <v>0</v>
      </c>
      <c r="U1159" s="1">
        <f t="shared" ref="U1159:U1222" si="146">IF(AND(O1159="-"),0,O1159*N1159)</f>
        <v>0</v>
      </c>
      <c r="V1159" s="1">
        <f t="shared" ref="V1159:V1222" si="147">IFERROR(C1159*H1159,0)</f>
        <v>0</v>
      </c>
      <c r="W1159" s="1">
        <f t="shared" ref="W1159:W1222" si="148">IFERROR(K1159*P1159,0)</f>
        <v>0</v>
      </c>
      <c r="X1159" s="1">
        <f t="shared" ref="X1159:X1222" si="149">IFERROR(G1159*1,0)</f>
        <v>0</v>
      </c>
      <c r="Y1159" s="1">
        <f t="shared" ref="Y1159:Y1222" si="150">IFERROR(O1159*1,0)</f>
        <v>0</v>
      </c>
      <c r="Z1159" s="1">
        <f t="shared" ref="Z1159:Z1222" si="151">IFERROR(H1159*1,0)</f>
        <v>0</v>
      </c>
      <c r="AA1159" s="1">
        <f t="shared" ref="AA1159:AA1222" si="152">IFERROR(P1159*1,0)</f>
        <v>0</v>
      </c>
    </row>
    <row r="1160" spans="2:27" x14ac:dyDescent="0.3">
      <c r="B1160" s="12"/>
      <c r="I1160" s="14"/>
      <c r="J1160" s="13"/>
      <c r="T1160" s="1">
        <f t="shared" si="145"/>
        <v>0</v>
      </c>
      <c r="U1160" s="1">
        <f t="shared" si="146"/>
        <v>0</v>
      </c>
      <c r="V1160" s="1">
        <f t="shared" si="147"/>
        <v>0</v>
      </c>
      <c r="W1160" s="1">
        <f t="shared" si="148"/>
        <v>0</v>
      </c>
      <c r="X1160" s="1">
        <f t="shared" si="149"/>
        <v>0</v>
      </c>
      <c r="Y1160" s="1">
        <f t="shared" si="150"/>
        <v>0</v>
      </c>
      <c r="Z1160" s="1">
        <f t="shared" si="151"/>
        <v>0</v>
      </c>
      <c r="AA1160" s="1">
        <f t="shared" si="152"/>
        <v>0</v>
      </c>
    </row>
    <row r="1161" spans="2:27" x14ac:dyDescent="0.3">
      <c r="B1161" s="12"/>
      <c r="I1161" s="14"/>
      <c r="J1161" s="13"/>
      <c r="T1161" s="1">
        <f t="shared" si="145"/>
        <v>0</v>
      </c>
      <c r="U1161" s="1">
        <f t="shared" si="146"/>
        <v>0</v>
      </c>
      <c r="V1161" s="1">
        <f t="shared" si="147"/>
        <v>0</v>
      </c>
      <c r="W1161" s="1">
        <f t="shared" si="148"/>
        <v>0</v>
      </c>
      <c r="X1161" s="1">
        <f t="shared" si="149"/>
        <v>0</v>
      </c>
      <c r="Y1161" s="1">
        <f t="shared" si="150"/>
        <v>0</v>
      </c>
      <c r="Z1161" s="1">
        <f t="shared" si="151"/>
        <v>0</v>
      </c>
      <c r="AA1161" s="1">
        <f t="shared" si="152"/>
        <v>0</v>
      </c>
    </row>
    <row r="1162" spans="2:27" x14ac:dyDescent="0.3">
      <c r="B1162" s="12"/>
      <c r="I1162" s="14"/>
      <c r="J1162" s="13"/>
      <c r="T1162" s="1">
        <f t="shared" si="145"/>
        <v>0</v>
      </c>
      <c r="U1162" s="1">
        <f t="shared" si="146"/>
        <v>0</v>
      </c>
      <c r="V1162" s="1">
        <f t="shared" si="147"/>
        <v>0</v>
      </c>
      <c r="W1162" s="1">
        <f t="shared" si="148"/>
        <v>0</v>
      </c>
      <c r="X1162" s="1">
        <f t="shared" si="149"/>
        <v>0</v>
      </c>
      <c r="Y1162" s="1">
        <f t="shared" si="150"/>
        <v>0</v>
      </c>
      <c r="Z1162" s="1">
        <f t="shared" si="151"/>
        <v>0</v>
      </c>
      <c r="AA1162" s="1">
        <f t="shared" si="152"/>
        <v>0</v>
      </c>
    </row>
    <row r="1163" spans="2:27" x14ac:dyDescent="0.3">
      <c r="B1163" s="12"/>
      <c r="I1163" s="14"/>
      <c r="J1163" s="13"/>
      <c r="T1163" s="1">
        <f t="shared" si="145"/>
        <v>0</v>
      </c>
      <c r="U1163" s="1">
        <f t="shared" si="146"/>
        <v>0</v>
      </c>
      <c r="V1163" s="1">
        <f t="shared" si="147"/>
        <v>0</v>
      </c>
      <c r="W1163" s="1">
        <f t="shared" si="148"/>
        <v>0</v>
      </c>
      <c r="X1163" s="1">
        <f t="shared" si="149"/>
        <v>0</v>
      </c>
      <c r="Y1163" s="1">
        <f t="shared" si="150"/>
        <v>0</v>
      </c>
      <c r="Z1163" s="1">
        <f t="shared" si="151"/>
        <v>0</v>
      </c>
      <c r="AA1163" s="1">
        <f t="shared" si="152"/>
        <v>0</v>
      </c>
    </row>
    <row r="1164" spans="2:27" x14ac:dyDescent="0.3">
      <c r="B1164" s="12"/>
      <c r="I1164" s="14"/>
      <c r="J1164" s="13"/>
      <c r="T1164" s="1">
        <f t="shared" si="145"/>
        <v>0</v>
      </c>
      <c r="U1164" s="1">
        <f t="shared" si="146"/>
        <v>0</v>
      </c>
      <c r="V1164" s="1">
        <f t="shared" si="147"/>
        <v>0</v>
      </c>
      <c r="W1164" s="1">
        <f t="shared" si="148"/>
        <v>0</v>
      </c>
      <c r="X1164" s="1">
        <f t="shared" si="149"/>
        <v>0</v>
      </c>
      <c r="Y1164" s="1">
        <f t="shared" si="150"/>
        <v>0</v>
      </c>
      <c r="Z1164" s="1">
        <f t="shared" si="151"/>
        <v>0</v>
      </c>
      <c r="AA1164" s="1">
        <f t="shared" si="152"/>
        <v>0</v>
      </c>
    </row>
    <row r="1165" spans="2:27" x14ac:dyDescent="0.3">
      <c r="B1165" s="12"/>
      <c r="I1165" s="14"/>
      <c r="J1165" s="13"/>
      <c r="T1165" s="1">
        <f t="shared" si="145"/>
        <v>0</v>
      </c>
      <c r="U1165" s="1">
        <f t="shared" si="146"/>
        <v>0</v>
      </c>
      <c r="V1165" s="1">
        <f t="shared" si="147"/>
        <v>0</v>
      </c>
      <c r="W1165" s="1">
        <f t="shared" si="148"/>
        <v>0</v>
      </c>
      <c r="X1165" s="1">
        <f t="shared" si="149"/>
        <v>0</v>
      </c>
      <c r="Y1165" s="1">
        <f t="shared" si="150"/>
        <v>0</v>
      </c>
      <c r="Z1165" s="1">
        <f t="shared" si="151"/>
        <v>0</v>
      </c>
      <c r="AA1165" s="1">
        <f t="shared" si="152"/>
        <v>0</v>
      </c>
    </row>
    <row r="1166" spans="2:27" x14ac:dyDescent="0.3">
      <c r="B1166" s="12"/>
      <c r="I1166" s="14"/>
      <c r="J1166" s="13"/>
      <c r="T1166" s="1">
        <f t="shared" si="145"/>
        <v>0</v>
      </c>
      <c r="U1166" s="1">
        <f t="shared" si="146"/>
        <v>0</v>
      </c>
      <c r="V1166" s="1">
        <f t="shared" si="147"/>
        <v>0</v>
      </c>
      <c r="W1166" s="1">
        <f t="shared" si="148"/>
        <v>0</v>
      </c>
      <c r="X1166" s="1">
        <f t="shared" si="149"/>
        <v>0</v>
      </c>
      <c r="Y1166" s="1">
        <f t="shared" si="150"/>
        <v>0</v>
      </c>
      <c r="Z1166" s="1">
        <f t="shared" si="151"/>
        <v>0</v>
      </c>
      <c r="AA1166" s="1">
        <f t="shared" si="152"/>
        <v>0</v>
      </c>
    </row>
    <row r="1167" spans="2:27" x14ac:dyDescent="0.3">
      <c r="B1167" s="12"/>
      <c r="I1167" s="14"/>
      <c r="J1167" s="13"/>
      <c r="T1167" s="1">
        <f t="shared" si="145"/>
        <v>0</v>
      </c>
      <c r="U1167" s="1">
        <f t="shared" si="146"/>
        <v>0</v>
      </c>
      <c r="V1167" s="1">
        <f t="shared" si="147"/>
        <v>0</v>
      </c>
      <c r="W1167" s="1">
        <f t="shared" si="148"/>
        <v>0</v>
      </c>
      <c r="X1167" s="1">
        <f t="shared" si="149"/>
        <v>0</v>
      </c>
      <c r="Y1167" s="1">
        <f t="shared" si="150"/>
        <v>0</v>
      </c>
      <c r="Z1167" s="1">
        <f t="shared" si="151"/>
        <v>0</v>
      </c>
      <c r="AA1167" s="1">
        <f t="shared" si="152"/>
        <v>0</v>
      </c>
    </row>
    <row r="1168" spans="2:27" x14ac:dyDescent="0.3">
      <c r="B1168" s="12"/>
      <c r="I1168" s="14"/>
      <c r="J1168" s="13"/>
      <c r="T1168" s="1">
        <f t="shared" si="145"/>
        <v>0</v>
      </c>
      <c r="U1168" s="1">
        <f t="shared" si="146"/>
        <v>0</v>
      </c>
      <c r="V1168" s="1">
        <f t="shared" si="147"/>
        <v>0</v>
      </c>
      <c r="W1168" s="1">
        <f t="shared" si="148"/>
        <v>0</v>
      </c>
      <c r="X1168" s="1">
        <f t="shared" si="149"/>
        <v>0</v>
      </c>
      <c r="Y1168" s="1">
        <f t="shared" si="150"/>
        <v>0</v>
      </c>
      <c r="Z1168" s="1">
        <f t="shared" si="151"/>
        <v>0</v>
      </c>
      <c r="AA1168" s="1">
        <f t="shared" si="152"/>
        <v>0</v>
      </c>
    </row>
    <row r="1169" spans="2:27" x14ac:dyDescent="0.3">
      <c r="B1169" s="12"/>
      <c r="I1169" s="14"/>
      <c r="J1169" s="13"/>
      <c r="T1169" s="1">
        <f t="shared" si="145"/>
        <v>0</v>
      </c>
      <c r="U1169" s="1">
        <f t="shared" si="146"/>
        <v>0</v>
      </c>
      <c r="V1169" s="1">
        <f t="shared" si="147"/>
        <v>0</v>
      </c>
      <c r="W1169" s="1">
        <f t="shared" si="148"/>
        <v>0</v>
      </c>
      <c r="X1169" s="1">
        <f t="shared" si="149"/>
        <v>0</v>
      </c>
      <c r="Y1169" s="1">
        <f t="shared" si="150"/>
        <v>0</v>
      </c>
      <c r="Z1169" s="1">
        <f t="shared" si="151"/>
        <v>0</v>
      </c>
      <c r="AA1169" s="1">
        <f t="shared" si="152"/>
        <v>0</v>
      </c>
    </row>
    <row r="1170" spans="2:27" x14ac:dyDescent="0.3">
      <c r="B1170" s="12"/>
      <c r="I1170" s="14"/>
      <c r="J1170" s="13"/>
      <c r="T1170" s="1">
        <f t="shared" si="145"/>
        <v>0</v>
      </c>
      <c r="U1170" s="1">
        <f t="shared" si="146"/>
        <v>0</v>
      </c>
      <c r="V1170" s="1">
        <f t="shared" si="147"/>
        <v>0</v>
      </c>
      <c r="W1170" s="1">
        <f t="shared" si="148"/>
        <v>0</v>
      </c>
      <c r="X1170" s="1">
        <f t="shared" si="149"/>
        <v>0</v>
      </c>
      <c r="Y1170" s="1">
        <f t="shared" si="150"/>
        <v>0</v>
      </c>
      <c r="Z1170" s="1">
        <f t="shared" si="151"/>
        <v>0</v>
      </c>
      <c r="AA1170" s="1">
        <f t="shared" si="152"/>
        <v>0</v>
      </c>
    </row>
    <row r="1171" spans="2:27" x14ac:dyDescent="0.3">
      <c r="B1171" s="12"/>
      <c r="I1171" s="14"/>
      <c r="J1171" s="13"/>
      <c r="T1171" s="1">
        <f t="shared" si="145"/>
        <v>0</v>
      </c>
      <c r="U1171" s="1">
        <f t="shared" si="146"/>
        <v>0</v>
      </c>
      <c r="V1171" s="1">
        <f t="shared" si="147"/>
        <v>0</v>
      </c>
      <c r="W1171" s="1">
        <f t="shared" si="148"/>
        <v>0</v>
      </c>
      <c r="X1171" s="1">
        <f t="shared" si="149"/>
        <v>0</v>
      </c>
      <c r="Y1171" s="1">
        <f t="shared" si="150"/>
        <v>0</v>
      </c>
      <c r="Z1171" s="1">
        <f t="shared" si="151"/>
        <v>0</v>
      </c>
      <c r="AA1171" s="1">
        <f t="shared" si="152"/>
        <v>0</v>
      </c>
    </row>
    <row r="1172" spans="2:27" x14ac:dyDescent="0.3">
      <c r="B1172" s="12"/>
      <c r="I1172" s="14"/>
      <c r="J1172" s="13"/>
      <c r="T1172" s="1">
        <f t="shared" si="145"/>
        <v>0</v>
      </c>
      <c r="U1172" s="1">
        <f t="shared" si="146"/>
        <v>0</v>
      </c>
      <c r="V1172" s="1">
        <f t="shared" si="147"/>
        <v>0</v>
      </c>
      <c r="W1172" s="1">
        <f t="shared" si="148"/>
        <v>0</v>
      </c>
      <c r="X1172" s="1">
        <f t="shared" si="149"/>
        <v>0</v>
      </c>
      <c r="Y1172" s="1">
        <f t="shared" si="150"/>
        <v>0</v>
      </c>
      <c r="Z1172" s="1">
        <f t="shared" si="151"/>
        <v>0</v>
      </c>
      <c r="AA1172" s="1">
        <f t="shared" si="152"/>
        <v>0</v>
      </c>
    </row>
    <row r="1173" spans="2:27" x14ac:dyDescent="0.3">
      <c r="B1173" s="12"/>
      <c r="I1173" s="14"/>
      <c r="J1173" s="13"/>
      <c r="T1173" s="1">
        <f t="shared" si="145"/>
        <v>0</v>
      </c>
      <c r="U1173" s="1">
        <f t="shared" si="146"/>
        <v>0</v>
      </c>
      <c r="V1173" s="1">
        <f t="shared" si="147"/>
        <v>0</v>
      </c>
      <c r="W1173" s="1">
        <f t="shared" si="148"/>
        <v>0</v>
      </c>
      <c r="X1173" s="1">
        <f t="shared" si="149"/>
        <v>0</v>
      </c>
      <c r="Y1173" s="1">
        <f t="shared" si="150"/>
        <v>0</v>
      </c>
      <c r="Z1173" s="1">
        <f t="shared" si="151"/>
        <v>0</v>
      </c>
      <c r="AA1173" s="1">
        <f t="shared" si="152"/>
        <v>0</v>
      </c>
    </row>
    <row r="1174" spans="2:27" x14ac:dyDescent="0.3">
      <c r="B1174" s="12"/>
      <c r="J1174" s="13"/>
      <c r="T1174" s="1">
        <f t="shared" si="145"/>
        <v>0</v>
      </c>
      <c r="U1174" s="1">
        <f t="shared" si="146"/>
        <v>0</v>
      </c>
      <c r="V1174" s="1">
        <f t="shared" si="147"/>
        <v>0</v>
      </c>
      <c r="W1174" s="1">
        <f t="shared" si="148"/>
        <v>0</v>
      </c>
      <c r="X1174" s="1">
        <f t="shared" si="149"/>
        <v>0</v>
      </c>
      <c r="Y1174" s="1">
        <f t="shared" si="150"/>
        <v>0</v>
      </c>
      <c r="Z1174" s="1">
        <f t="shared" si="151"/>
        <v>0</v>
      </c>
      <c r="AA1174" s="1">
        <f t="shared" si="152"/>
        <v>0</v>
      </c>
    </row>
    <row r="1175" spans="2:27" x14ac:dyDescent="0.3">
      <c r="B1175" s="12"/>
      <c r="J1175" s="13"/>
      <c r="T1175" s="1">
        <f t="shared" si="145"/>
        <v>0</v>
      </c>
      <c r="U1175" s="1">
        <f t="shared" si="146"/>
        <v>0</v>
      </c>
      <c r="V1175" s="1">
        <f t="shared" si="147"/>
        <v>0</v>
      </c>
      <c r="W1175" s="1">
        <f t="shared" si="148"/>
        <v>0</v>
      </c>
      <c r="X1175" s="1">
        <f t="shared" si="149"/>
        <v>0</v>
      </c>
      <c r="Y1175" s="1">
        <f t="shared" si="150"/>
        <v>0</v>
      </c>
      <c r="Z1175" s="1">
        <f t="shared" si="151"/>
        <v>0</v>
      </c>
      <c r="AA1175" s="1">
        <f t="shared" si="152"/>
        <v>0</v>
      </c>
    </row>
    <row r="1176" spans="2:27" x14ac:dyDescent="0.3">
      <c r="B1176" s="12"/>
      <c r="J1176" s="13"/>
      <c r="T1176" s="1">
        <f t="shared" si="145"/>
        <v>0</v>
      </c>
      <c r="U1176" s="1">
        <f t="shared" si="146"/>
        <v>0</v>
      </c>
      <c r="V1176" s="1">
        <f t="shared" si="147"/>
        <v>0</v>
      </c>
      <c r="W1176" s="1">
        <f t="shared" si="148"/>
        <v>0</v>
      </c>
      <c r="X1176" s="1">
        <f t="shared" si="149"/>
        <v>0</v>
      </c>
      <c r="Y1176" s="1">
        <f t="shared" si="150"/>
        <v>0</v>
      </c>
      <c r="Z1176" s="1">
        <f t="shared" si="151"/>
        <v>0</v>
      </c>
      <c r="AA1176" s="1">
        <f t="shared" si="152"/>
        <v>0</v>
      </c>
    </row>
    <row r="1177" spans="2:27" x14ac:dyDescent="0.3">
      <c r="B1177" s="12"/>
      <c r="J1177" s="13"/>
      <c r="T1177" s="1">
        <f t="shared" si="145"/>
        <v>0</v>
      </c>
      <c r="U1177" s="1">
        <f t="shared" si="146"/>
        <v>0</v>
      </c>
      <c r="V1177" s="1">
        <f t="shared" si="147"/>
        <v>0</v>
      </c>
      <c r="W1177" s="1">
        <f t="shared" si="148"/>
        <v>0</v>
      </c>
      <c r="X1177" s="1">
        <f t="shared" si="149"/>
        <v>0</v>
      </c>
      <c r="Y1177" s="1">
        <f t="shared" si="150"/>
        <v>0</v>
      </c>
      <c r="Z1177" s="1">
        <f t="shared" si="151"/>
        <v>0</v>
      </c>
      <c r="AA1177" s="1">
        <f t="shared" si="152"/>
        <v>0</v>
      </c>
    </row>
    <row r="1178" spans="2:27" x14ac:dyDescent="0.3">
      <c r="B1178" s="12"/>
      <c r="J1178" s="13"/>
      <c r="T1178" s="1">
        <f t="shared" si="145"/>
        <v>0</v>
      </c>
      <c r="U1178" s="1">
        <f t="shared" si="146"/>
        <v>0</v>
      </c>
      <c r="V1178" s="1">
        <f t="shared" si="147"/>
        <v>0</v>
      </c>
      <c r="W1178" s="1">
        <f t="shared" si="148"/>
        <v>0</v>
      </c>
      <c r="X1178" s="1">
        <f t="shared" si="149"/>
        <v>0</v>
      </c>
      <c r="Y1178" s="1">
        <f t="shared" si="150"/>
        <v>0</v>
      </c>
      <c r="Z1178" s="1">
        <f t="shared" si="151"/>
        <v>0</v>
      </c>
      <c r="AA1178" s="1">
        <f t="shared" si="152"/>
        <v>0</v>
      </c>
    </row>
    <row r="1179" spans="2:27" x14ac:dyDescent="0.3">
      <c r="B1179" s="12"/>
      <c r="J1179" s="13"/>
      <c r="T1179" s="1">
        <f t="shared" si="145"/>
        <v>0</v>
      </c>
      <c r="U1179" s="1">
        <f t="shared" si="146"/>
        <v>0</v>
      </c>
      <c r="V1179" s="1">
        <f t="shared" si="147"/>
        <v>0</v>
      </c>
      <c r="W1179" s="1">
        <f t="shared" si="148"/>
        <v>0</v>
      </c>
      <c r="X1179" s="1">
        <f t="shared" si="149"/>
        <v>0</v>
      </c>
      <c r="Y1179" s="1">
        <f t="shared" si="150"/>
        <v>0</v>
      </c>
      <c r="Z1179" s="1">
        <f t="shared" si="151"/>
        <v>0</v>
      </c>
      <c r="AA1179" s="1">
        <f t="shared" si="152"/>
        <v>0</v>
      </c>
    </row>
    <row r="1180" spans="2:27" x14ac:dyDescent="0.3">
      <c r="B1180" s="12"/>
      <c r="J1180" s="13"/>
      <c r="T1180" s="1">
        <f t="shared" si="145"/>
        <v>0</v>
      </c>
      <c r="U1180" s="1">
        <f t="shared" si="146"/>
        <v>0</v>
      </c>
      <c r="V1180" s="1">
        <f t="shared" si="147"/>
        <v>0</v>
      </c>
      <c r="W1180" s="1">
        <f t="shared" si="148"/>
        <v>0</v>
      </c>
      <c r="X1180" s="1">
        <f t="shared" si="149"/>
        <v>0</v>
      </c>
      <c r="Y1180" s="1">
        <f t="shared" si="150"/>
        <v>0</v>
      </c>
      <c r="Z1180" s="1">
        <f t="shared" si="151"/>
        <v>0</v>
      </c>
      <c r="AA1180" s="1">
        <f t="shared" si="152"/>
        <v>0</v>
      </c>
    </row>
    <row r="1181" spans="2:27" x14ac:dyDescent="0.3">
      <c r="B1181" s="12"/>
      <c r="J1181" s="13"/>
      <c r="T1181" s="1">
        <f t="shared" si="145"/>
        <v>0</v>
      </c>
      <c r="U1181" s="1">
        <f t="shared" si="146"/>
        <v>0</v>
      </c>
      <c r="V1181" s="1">
        <f t="shared" si="147"/>
        <v>0</v>
      </c>
      <c r="W1181" s="1">
        <f t="shared" si="148"/>
        <v>0</v>
      </c>
      <c r="X1181" s="1">
        <f t="shared" si="149"/>
        <v>0</v>
      </c>
      <c r="Y1181" s="1">
        <f t="shared" si="150"/>
        <v>0</v>
      </c>
      <c r="Z1181" s="1">
        <f t="shared" si="151"/>
        <v>0</v>
      </c>
      <c r="AA1181" s="1">
        <f t="shared" si="152"/>
        <v>0</v>
      </c>
    </row>
    <row r="1182" spans="2:27" x14ac:dyDescent="0.3">
      <c r="B1182" s="12"/>
      <c r="J1182" s="13"/>
      <c r="T1182" s="1">
        <f t="shared" si="145"/>
        <v>0</v>
      </c>
      <c r="U1182" s="1">
        <f t="shared" si="146"/>
        <v>0</v>
      </c>
      <c r="V1182" s="1">
        <f t="shared" si="147"/>
        <v>0</v>
      </c>
      <c r="W1182" s="1">
        <f t="shared" si="148"/>
        <v>0</v>
      </c>
      <c r="X1182" s="1">
        <f t="shared" si="149"/>
        <v>0</v>
      </c>
      <c r="Y1182" s="1">
        <f t="shared" si="150"/>
        <v>0</v>
      </c>
      <c r="Z1182" s="1">
        <f t="shared" si="151"/>
        <v>0</v>
      </c>
      <c r="AA1182" s="1">
        <f t="shared" si="152"/>
        <v>0</v>
      </c>
    </row>
    <row r="1183" spans="2:27" x14ac:dyDescent="0.3">
      <c r="B1183" s="12"/>
      <c r="J1183" s="13"/>
      <c r="T1183" s="1">
        <f t="shared" si="145"/>
        <v>0</v>
      </c>
      <c r="U1183" s="1">
        <f t="shared" si="146"/>
        <v>0</v>
      </c>
      <c r="V1183" s="1">
        <f t="shared" si="147"/>
        <v>0</v>
      </c>
      <c r="W1183" s="1">
        <f t="shared" si="148"/>
        <v>0</v>
      </c>
      <c r="X1183" s="1">
        <f t="shared" si="149"/>
        <v>0</v>
      </c>
      <c r="Y1183" s="1">
        <f t="shared" si="150"/>
        <v>0</v>
      </c>
      <c r="Z1183" s="1">
        <f t="shared" si="151"/>
        <v>0</v>
      </c>
      <c r="AA1183" s="1">
        <f t="shared" si="152"/>
        <v>0</v>
      </c>
    </row>
    <row r="1184" spans="2:27" x14ac:dyDescent="0.3">
      <c r="B1184" s="12"/>
      <c r="J1184" s="13"/>
      <c r="T1184" s="1">
        <f t="shared" si="145"/>
        <v>0</v>
      </c>
      <c r="U1184" s="1">
        <f t="shared" si="146"/>
        <v>0</v>
      </c>
      <c r="V1184" s="1">
        <f t="shared" si="147"/>
        <v>0</v>
      </c>
      <c r="W1184" s="1">
        <f t="shared" si="148"/>
        <v>0</v>
      </c>
      <c r="X1184" s="1">
        <f t="shared" si="149"/>
        <v>0</v>
      </c>
      <c r="Y1184" s="1">
        <f t="shared" si="150"/>
        <v>0</v>
      </c>
      <c r="Z1184" s="1">
        <f t="shared" si="151"/>
        <v>0</v>
      </c>
      <c r="AA1184" s="1">
        <f t="shared" si="152"/>
        <v>0</v>
      </c>
    </row>
    <row r="1185" spans="2:27" x14ac:dyDescent="0.3">
      <c r="B1185" s="12"/>
      <c r="J1185" s="13"/>
      <c r="T1185" s="1">
        <f t="shared" si="145"/>
        <v>0</v>
      </c>
      <c r="U1185" s="1">
        <f t="shared" si="146"/>
        <v>0</v>
      </c>
      <c r="V1185" s="1">
        <f t="shared" si="147"/>
        <v>0</v>
      </c>
      <c r="W1185" s="1">
        <f t="shared" si="148"/>
        <v>0</v>
      </c>
      <c r="X1185" s="1">
        <f t="shared" si="149"/>
        <v>0</v>
      </c>
      <c r="Y1185" s="1">
        <f t="shared" si="150"/>
        <v>0</v>
      </c>
      <c r="Z1185" s="1">
        <f t="shared" si="151"/>
        <v>0</v>
      </c>
      <c r="AA1185" s="1">
        <f t="shared" si="152"/>
        <v>0</v>
      </c>
    </row>
    <row r="1186" spans="2:27" x14ac:dyDescent="0.3">
      <c r="B1186" s="12"/>
      <c r="J1186" s="13"/>
      <c r="T1186" s="1">
        <f t="shared" si="145"/>
        <v>0</v>
      </c>
      <c r="U1186" s="1">
        <f t="shared" si="146"/>
        <v>0</v>
      </c>
      <c r="V1186" s="1">
        <f t="shared" si="147"/>
        <v>0</v>
      </c>
      <c r="W1186" s="1">
        <f t="shared" si="148"/>
        <v>0</v>
      </c>
      <c r="X1186" s="1">
        <f t="shared" si="149"/>
        <v>0</v>
      </c>
      <c r="Y1186" s="1">
        <f t="shared" si="150"/>
        <v>0</v>
      </c>
      <c r="Z1186" s="1">
        <f t="shared" si="151"/>
        <v>0</v>
      </c>
      <c r="AA1186" s="1">
        <f t="shared" si="152"/>
        <v>0</v>
      </c>
    </row>
    <row r="1187" spans="2:27" x14ac:dyDescent="0.3">
      <c r="B1187" s="12"/>
      <c r="J1187" s="13"/>
      <c r="T1187" s="1">
        <f t="shared" si="145"/>
        <v>0</v>
      </c>
      <c r="U1187" s="1">
        <f t="shared" si="146"/>
        <v>0</v>
      </c>
      <c r="V1187" s="1">
        <f t="shared" si="147"/>
        <v>0</v>
      </c>
      <c r="W1187" s="1">
        <f t="shared" si="148"/>
        <v>0</v>
      </c>
      <c r="X1187" s="1">
        <f t="shared" si="149"/>
        <v>0</v>
      </c>
      <c r="Y1187" s="1">
        <f t="shared" si="150"/>
        <v>0</v>
      </c>
      <c r="Z1187" s="1">
        <f t="shared" si="151"/>
        <v>0</v>
      </c>
      <c r="AA1187" s="1">
        <f t="shared" si="152"/>
        <v>0</v>
      </c>
    </row>
    <row r="1188" spans="2:27" x14ac:dyDescent="0.3">
      <c r="B1188" s="12"/>
      <c r="I1188" s="14"/>
      <c r="J1188" s="13"/>
      <c r="T1188" s="1">
        <f t="shared" si="145"/>
        <v>0</v>
      </c>
      <c r="U1188" s="1">
        <f t="shared" si="146"/>
        <v>0</v>
      </c>
      <c r="V1188" s="1">
        <f t="shared" si="147"/>
        <v>0</v>
      </c>
      <c r="W1188" s="1">
        <f t="shared" si="148"/>
        <v>0</v>
      </c>
      <c r="X1188" s="1">
        <f t="shared" si="149"/>
        <v>0</v>
      </c>
      <c r="Y1188" s="1">
        <f t="shared" si="150"/>
        <v>0</v>
      </c>
      <c r="Z1188" s="1">
        <f t="shared" si="151"/>
        <v>0</v>
      </c>
      <c r="AA1188" s="1">
        <f t="shared" si="152"/>
        <v>0</v>
      </c>
    </row>
    <row r="1189" spans="2:27" x14ac:dyDescent="0.3">
      <c r="B1189" s="12"/>
      <c r="I1189" s="14"/>
      <c r="J1189" s="13"/>
      <c r="T1189" s="1">
        <f t="shared" si="145"/>
        <v>0</v>
      </c>
      <c r="U1189" s="1">
        <f t="shared" si="146"/>
        <v>0</v>
      </c>
      <c r="V1189" s="1">
        <f t="shared" si="147"/>
        <v>0</v>
      </c>
      <c r="W1189" s="1">
        <f t="shared" si="148"/>
        <v>0</v>
      </c>
      <c r="X1189" s="1">
        <f t="shared" si="149"/>
        <v>0</v>
      </c>
      <c r="Y1189" s="1">
        <f t="shared" si="150"/>
        <v>0</v>
      </c>
      <c r="Z1189" s="1">
        <f t="shared" si="151"/>
        <v>0</v>
      </c>
      <c r="AA1189" s="1">
        <f t="shared" si="152"/>
        <v>0</v>
      </c>
    </row>
    <row r="1190" spans="2:27" x14ac:dyDescent="0.3">
      <c r="B1190" s="12"/>
      <c r="I1190" s="14"/>
      <c r="J1190" s="13"/>
      <c r="T1190" s="1">
        <f t="shared" si="145"/>
        <v>0</v>
      </c>
      <c r="U1190" s="1">
        <f t="shared" si="146"/>
        <v>0</v>
      </c>
      <c r="V1190" s="1">
        <f t="shared" si="147"/>
        <v>0</v>
      </c>
      <c r="W1190" s="1">
        <f t="shared" si="148"/>
        <v>0</v>
      </c>
      <c r="X1190" s="1">
        <f t="shared" si="149"/>
        <v>0</v>
      </c>
      <c r="Y1190" s="1">
        <f t="shared" si="150"/>
        <v>0</v>
      </c>
      <c r="Z1190" s="1">
        <f t="shared" si="151"/>
        <v>0</v>
      </c>
      <c r="AA1190" s="1">
        <f t="shared" si="152"/>
        <v>0</v>
      </c>
    </row>
    <row r="1191" spans="2:27" x14ac:dyDescent="0.3">
      <c r="B1191" s="12"/>
      <c r="I1191" s="14"/>
      <c r="J1191" s="13"/>
      <c r="T1191" s="1">
        <f t="shared" si="145"/>
        <v>0</v>
      </c>
      <c r="U1191" s="1">
        <f t="shared" si="146"/>
        <v>0</v>
      </c>
      <c r="V1191" s="1">
        <f t="shared" si="147"/>
        <v>0</v>
      </c>
      <c r="W1191" s="1">
        <f t="shared" si="148"/>
        <v>0</v>
      </c>
      <c r="X1191" s="1">
        <f t="shared" si="149"/>
        <v>0</v>
      </c>
      <c r="Y1191" s="1">
        <f t="shared" si="150"/>
        <v>0</v>
      </c>
      <c r="Z1191" s="1">
        <f t="shared" si="151"/>
        <v>0</v>
      </c>
      <c r="AA1191" s="1">
        <f t="shared" si="152"/>
        <v>0</v>
      </c>
    </row>
    <row r="1192" spans="2:27" x14ac:dyDescent="0.3">
      <c r="B1192" s="12"/>
      <c r="I1192" s="14"/>
      <c r="J1192" s="13"/>
      <c r="T1192" s="1">
        <f t="shared" si="145"/>
        <v>0</v>
      </c>
      <c r="U1192" s="1">
        <f t="shared" si="146"/>
        <v>0</v>
      </c>
      <c r="V1192" s="1">
        <f t="shared" si="147"/>
        <v>0</v>
      </c>
      <c r="W1192" s="1">
        <f t="shared" si="148"/>
        <v>0</v>
      </c>
      <c r="X1192" s="1">
        <f t="shared" si="149"/>
        <v>0</v>
      </c>
      <c r="Y1192" s="1">
        <f t="shared" si="150"/>
        <v>0</v>
      </c>
      <c r="Z1192" s="1">
        <f t="shared" si="151"/>
        <v>0</v>
      </c>
      <c r="AA1192" s="1">
        <f t="shared" si="152"/>
        <v>0</v>
      </c>
    </row>
    <row r="1193" spans="2:27" x14ac:dyDescent="0.3">
      <c r="B1193" s="12"/>
      <c r="I1193" s="14"/>
      <c r="J1193" s="14"/>
      <c r="T1193" s="1">
        <f t="shared" si="145"/>
        <v>0</v>
      </c>
      <c r="U1193" s="1">
        <f t="shared" si="146"/>
        <v>0</v>
      </c>
      <c r="V1193" s="1">
        <f t="shared" si="147"/>
        <v>0</v>
      </c>
      <c r="W1193" s="1">
        <f t="shared" si="148"/>
        <v>0</v>
      </c>
      <c r="X1193" s="1">
        <f t="shared" si="149"/>
        <v>0</v>
      </c>
      <c r="Y1193" s="1">
        <f t="shared" si="150"/>
        <v>0</v>
      </c>
      <c r="Z1193" s="1">
        <f t="shared" si="151"/>
        <v>0</v>
      </c>
      <c r="AA1193" s="1">
        <f t="shared" si="152"/>
        <v>0</v>
      </c>
    </row>
    <row r="1194" spans="2:27" x14ac:dyDescent="0.3">
      <c r="B1194" s="12"/>
      <c r="I1194" s="14"/>
      <c r="J1194" s="14"/>
      <c r="T1194" s="1">
        <f t="shared" si="145"/>
        <v>0</v>
      </c>
      <c r="U1194" s="1">
        <f t="shared" si="146"/>
        <v>0</v>
      </c>
      <c r="V1194" s="1">
        <f t="shared" si="147"/>
        <v>0</v>
      </c>
      <c r="W1194" s="1">
        <f t="shared" si="148"/>
        <v>0</v>
      </c>
      <c r="X1194" s="1">
        <f t="shared" si="149"/>
        <v>0</v>
      </c>
      <c r="Y1194" s="1">
        <f t="shared" si="150"/>
        <v>0</v>
      </c>
      <c r="Z1194" s="1">
        <f t="shared" si="151"/>
        <v>0</v>
      </c>
      <c r="AA1194" s="1">
        <f t="shared" si="152"/>
        <v>0</v>
      </c>
    </row>
    <row r="1195" spans="2:27" x14ac:dyDescent="0.3">
      <c r="B1195" s="12"/>
      <c r="I1195" s="14"/>
      <c r="J1195" s="14"/>
      <c r="T1195" s="1">
        <f t="shared" si="145"/>
        <v>0</v>
      </c>
      <c r="U1195" s="1">
        <f t="shared" si="146"/>
        <v>0</v>
      </c>
      <c r="V1195" s="1">
        <f t="shared" si="147"/>
        <v>0</v>
      </c>
      <c r="W1195" s="1">
        <f t="shared" si="148"/>
        <v>0</v>
      </c>
      <c r="X1195" s="1">
        <f t="shared" si="149"/>
        <v>0</v>
      </c>
      <c r="Y1195" s="1">
        <f t="shared" si="150"/>
        <v>0</v>
      </c>
      <c r="Z1195" s="1">
        <f t="shared" si="151"/>
        <v>0</v>
      </c>
      <c r="AA1195" s="1">
        <f t="shared" si="152"/>
        <v>0</v>
      </c>
    </row>
    <row r="1196" spans="2:27" x14ac:dyDescent="0.3">
      <c r="B1196" s="12"/>
      <c r="I1196" s="14"/>
      <c r="J1196" s="14"/>
      <c r="T1196" s="1">
        <f t="shared" si="145"/>
        <v>0</v>
      </c>
      <c r="U1196" s="1">
        <f t="shared" si="146"/>
        <v>0</v>
      </c>
      <c r="V1196" s="1">
        <f t="shared" si="147"/>
        <v>0</v>
      </c>
      <c r="W1196" s="1">
        <f t="shared" si="148"/>
        <v>0</v>
      </c>
      <c r="X1196" s="1">
        <f t="shared" si="149"/>
        <v>0</v>
      </c>
      <c r="Y1196" s="1">
        <f t="shared" si="150"/>
        <v>0</v>
      </c>
      <c r="Z1196" s="1">
        <f t="shared" si="151"/>
        <v>0</v>
      </c>
      <c r="AA1196" s="1">
        <f t="shared" si="152"/>
        <v>0</v>
      </c>
    </row>
    <row r="1197" spans="2:27" x14ac:dyDescent="0.3">
      <c r="B1197" s="12"/>
      <c r="I1197" s="14"/>
      <c r="J1197" s="14"/>
      <c r="T1197" s="1">
        <f t="shared" si="145"/>
        <v>0</v>
      </c>
      <c r="U1197" s="1">
        <f t="shared" si="146"/>
        <v>0</v>
      </c>
      <c r="V1197" s="1">
        <f t="shared" si="147"/>
        <v>0</v>
      </c>
      <c r="W1197" s="1">
        <f t="shared" si="148"/>
        <v>0</v>
      </c>
      <c r="X1197" s="1">
        <f t="shared" si="149"/>
        <v>0</v>
      </c>
      <c r="Y1197" s="1">
        <f t="shared" si="150"/>
        <v>0</v>
      </c>
      <c r="Z1197" s="1">
        <f t="shared" si="151"/>
        <v>0</v>
      </c>
      <c r="AA1197" s="1">
        <f t="shared" si="152"/>
        <v>0</v>
      </c>
    </row>
    <row r="1198" spans="2:27" x14ac:dyDescent="0.3">
      <c r="B1198" s="12"/>
      <c r="I1198" s="14"/>
      <c r="J1198" s="14"/>
      <c r="T1198" s="1">
        <f t="shared" si="145"/>
        <v>0</v>
      </c>
      <c r="U1198" s="1">
        <f t="shared" si="146"/>
        <v>0</v>
      </c>
      <c r="V1198" s="1">
        <f t="shared" si="147"/>
        <v>0</v>
      </c>
      <c r="W1198" s="1">
        <f t="shared" si="148"/>
        <v>0</v>
      </c>
      <c r="X1198" s="1">
        <f t="shared" si="149"/>
        <v>0</v>
      </c>
      <c r="Y1198" s="1">
        <f t="shared" si="150"/>
        <v>0</v>
      </c>
      <c r="Z1198" s="1">
        <f t="shared" si="151"/>
        <v>0</v>
      </c>
      <c r="AA1198" s="1">
        <f t="shared" si="152"/>
        <v>0</v>
      </c>
    </row>
    <row r="1199" spans="2:27" x14ac:dyDescent="0.3">
      <c r="I1199" s="14"/>
      <c r="T1199" s="1">
        <f t="shared" si="145"/>
        <v>0</v>
      </c>
      <c r="U1199" s="1">
        <f t="shared" si="146"/>
        <v>0</v>
      </c>
      <c r="V1199" s="1">
        <f t="shared" si="147"/>
        <v>0</v>
      </c>
      <c r="W1199" s="1">
        <f t="shared" si="148"/>
        <v>0</v>
      </c>
      <c r="X1199" s="1">
        <f t="shared" si="149"/>
        <v>0</v>
      </c>
      <c r="Y1199" s="1">
        <f t="shared" si="150"/>
        <v>0</v>
      </c>
      <c r="Z1199" s="1">
        <f t="shared" si="151"/>
        <v>0</v>
      </c>
      <c r="AA1199" s="1">
        <f t="shared" si="152"/>
        <v>0</v>
      </c>
    </row>
    <row r="1200" spans="2:27" x14ac:dyDescent="0.3">
      <c r="I1200" s="14"/>
      <c r="T1200" s="1">
        <f t="shared" si="145"/>
        <v>0</v>
      </c>
      <c r="U1200" s="1">
        <f t="shared" si="146"/>
        <v>0</v>
      </c>
      <c r="V1200" s="1">
        <f t="shared" si="147"/>
        <v>0</v>
      </c>
      <c r="W1200" s="1">
        <f t="shared" si="148"/>
        <v>0</v>
      </c>
      <c r="X1200" s="1">
        <f t="shared" si="149"/>
        <v>0</v>
      </c>
      <c r="Y1200" s="1">
        <f t="shared" si="150"/>
        <v>0</v>
      </c>
      <c r="Z1200" s="1">
        <f t="shared" si="151"/>
        <v>0</v>
      </c>
      <c r="AA1200" s="1">
        <f t="shared" si="152"/>
        <v>0</v>
      </c>
    </row>
    <row r="1201" spans="9:27" x14ac:dyDescent="0.3">
      <c r="I1201" s="14"/>
      <c r="T1201" s="1">
        <f t="shared" si="145"/>
        <v>0</v>
      </c>
      <c r="U1201" s="1">
        <f t="shared" si="146"/>
        <v>0</v>
      </c>
      <c r="V1201" s="1">
        <f t="shared" si="147"/>
        <v>0</v>
      </c>
      <c r="W1201" s="1">
        <f t="shared" si="148"/>
        <v>0</v>
      </c>
      <c r="X1201" s="1">
        <f t="shared" si="149"/>
        <v>0</v>
      </c>
      <c r="Y1201" s="1">
        <f t="shared" si="150"/>
        <v>0</v>
      </c>
      <c r="Z1201" s="1">
        <f t="shared" si="151"/>
        <v>0</v>
      </c>
      <c r="AA1201" s="1">
        <f t="shared" si="152"/>
        <v>0</v>
      </c>
    </row>
    <row r="1202" spans="9:27" x14ac:dyDescent="0.3">
      <c r="I1202" s="14"/>
      <c r="T1202" s="1">
        <f t="shared" si="145"/>
        <v>0</v>
      </c>
      <c r="U1202" s="1">
        <f t="shared" si="146"/>
        <v>0</v>
      </c>
      <c r="V1202" s="1">
        <f t="shared" si="147"/>
        <v>0</v>
      </c>
      <c r="W1202" s="1">
        <f t="shared" si="148"/>
        <v>0</v>
      </c>
      <c r="X1202" s="1">
        <f t="shared" si="149"/>
        <v>0</v>
      </c>
      <c r="Y1202" s="1">
        <f t="shared" si="150"/>
        <v>0</v>
      </c>
      <c r="Z1202" s="1">
        <f t="shared" si="151"/>
        <v>0</v>
      </c>
      <c r="AA1202" s="1">
        <f t="shared" si="152"/>
        <v>0</v>
      </c>
    </row>
    <row r="1203" spans="9:27" x14ac:dyDescent="0.3">
      <c r="I1203" s="14"/>
      <c r="T1203" s="1">
        <f t="shared" si="145"/>
        <v>0</v>
      </c>
      <c r="U1203" s="1">
        <f t="shared" si="146"/>
        <v>0</v>
      </c>
      <c r="V1203" s="1">
        <f t="shared" si="147"/>
        <v>0</v>
      </c>
      <c r="W1203" s="1">
        <f t="shared" si="148"/>
        <v>0</v>
      </c>
      <c r="X1203" s="1">
        <f t="shared" si="149"/>
        <v>0</v>
      </c>
      <c r="Y1203" s="1">
        <f t="shared" si="150"/>
        <v>0</v>
      </c>
      <c r="Z1203" s="1">
        <f t="shared" si="151"/>
        <v>0</v>
      </c>
      <c r="AA1203" s="1">
        <f t="shared" si="152"/>
        <v>0</v>
      </c>
    </row>
    <row r="1204" spans="9:27" x14ac:dyDescent="0.3">
      <c r="I1204" s="14"/>
      <c r="T1204" s="1">
        <f t="shared" si="145"/>
        <v>0</v>
      </c>
      <c r="U1204" s="1">
        <f t="shared" si="146"/>
        <v>0</v>
      </c>
      <c r="V1204" s="1">
        <f t="shared" si="147"/>
        <v>0</v>
      </c>
      <c r="W1204" s="1">
        <f t="shared" si="148"/>
        <v>0</v>
      </c>
      <c r="X1204" s="1">
        <f t="shared" si="149"/>
        <v>0</v>
      </c>
      <c r="Y1204" s="1">
        <f t="shared" si="150"/>
        <v>0</v>
      </c>
      <c r="Z1204" s="1">
        <f t="shared" si="151"/>
        <v>0</v>
      </c>
      <c r="AA1204" s="1">
        <f t="shared" si="152"/>
        <v>0</v>
      </c>
    </row>
    <row r="1205" spans="9:27" x14ac:dyDescent="0.3">
      <c r="I1205" s="14"/>
      <c r="T1205" s="1">
        <f t="shared" si="145"/>
        <v>0</v>
      </c>
      <c r="U1205" s="1">
        <f t="shared" si="146"/>
        <v>0</v>
      </c>
      <c r="V1205" s="1">
        <f t="shared" si="147"/>
        <v>0</v>
      </c>
      <c r="W1205" s="1">
        <f t="shared" si="148"/>
        <v>0</v>
      </c>
      <c r="X1205" s="1">
        <f t="shared" si="149"/>
        <v>0</v>
      </c>
      <c r="Y1205" s="1">
        <f t="shared" si="150"/>
        <v>0</v>
      </c>
      <c r="Z1205" s="1">
        <f t="shared" si="151"/>
        <v>0</v>
      </c>
      <c r="AA1205" s="1">
        <f t="shared" si="152"/>
        <v>0</v>
      </c>
    </row>
    <row r="1206" spans="9:27" x14ac:dyDescent="0.3">
      <c r="I1206" s="14"/>
      <c r="T1206" s="1">
        <f t="shared" si="145"/>
        <v>0</v>
      </c>
      <c r="U1206" s="1">
        <f t="shared" si="146"/>
        <v>0</v>
      </c>
      <c r="V1206" s="1">
        <f t="shared" si="147"/>
        <v>0</v>
      </c>
      <c r="W1206" s="1">
        <f t="shared" si="148"/>
        <v>0</v>
      </c>
      <c r="X1206" s="1">
        <f t="shared" si="149"/>
        <v>0</v>
      </c>
      <c r="Y1206" s="1">
        <f t="shared" si="150"/>
        <v>0</v>
      </c>
      <c r="Z1206" s="1">
        <f t="shared" si="151"/>
        <v>0</v>
      </c>
      <c r="AA1206" s="1">
        <f t="shared" si="152"/>
        <v>0</v>
      </c>
    </row>
    <row r="1207" spans="9:27" x14ac:dyDescent="0.3">
      <c r="I1207" s="14"/>
      <c r="T1207" s="1">
        <f t="shared" si="145"/>
        <v>0</v>
      </c>
      <c r="U1207" s="1">
        <f t="shared" si="146"/>
        <v>0</v>
      </c>
      <c r="V1207" s="1">
        <f t="shared" si="147"/>
        <v>0</v>
      </c>
      <c r="W1207" s="1">
        <f t="shared" si="148"/>
        <v>0</v>
      </c>
      <c r="X1207" s="1">
        <f t="shared" si="149"/>
        <v>0</v>
      </c>
      <c r="Y1207" s="1">
        <f t="shared" si="150"/>
        <v>0</v>
      </c>
      <c r="Z1207" s="1">
        <f t="shared" si="151"/>
        <v>0</v>
      </c>
      <c r="AA1207" s="1">
        <f t="shared" si="152"/>
        <v>0</v>
      </c>
    </row>
    <row r="1208" spans="9:27" x14ac:dyDescent="0.3">
      <c r="I1208" s="14"/>
      <c r="T1208" s="1">
        <f t="shared" si="145"/>
        <v>0</v>
      </c>
      <c r="U1208" s="1">
        <f t="shared" si="146"/>
        <v>0</v>
      </c>
      <c r="V1208" s="1">
        <f t="shared" si="147"/>
        <v>0</v>
      </c>
      <c r="W1208" s="1">
        <f t="shared" si="148"/>
        <v>0</v>
      </c>
      <c r="X1208" s="1">
        <f t="shared" si="149"/>
        <v>0</v>
      </c>
      <c r="Y1208" s="1">
        <f t="shared" si="150"/>
        <v>0</v>
      </c>
      <c r="Z1208" s="1">
        <f t="shared" si="151"/>
        <v>0</v>
      </c>
      <c r="AA1208" s="1">
        <f t="shared" si="152"/>
        <v>0</v>
      </c>
    </row>
    <row r="1209" spans="9:27" x14ac:dyDescent="0.3">
      <c r="I1209" s="14"/>
      <c r="T1209" s="1">
        <f t="shared" si="145"/>
        <v>0</v>
      </c>
      <c r="U1209" s="1">
        <f t="shared" si="146"/>
        <v>0</v>
      </c>
      <c r="V1209" s="1">
        <f t="shared" si="147"/>
        <v>0</v>
      </c>
      <c r="W1209" s="1">
        <f t="shared" si="148"/>
        <v>0</v>
      </c>
      <c r="X1209" s="1">
        <f t="shared" si="149"/>
        <v>0</v>
      </c>
      <c r="Y1209" s="1">
        <f t="shared" si="150"/>
        <v>0</v>
      </c>
      <c r="Z1209" s="1">
        <f t="shared" si="151"/>
        <v>0</v>
      </c>
      <c r="AA1209" s="1">
        <f t="shared" si="152"/>
        <v>0</v>
      </c>
    </row>
    <row r="1210" spans="9:27" x14ac:dyDescent="0.3">
      <c r="I1210" s="14"/>
      <c r="T1210" s="1">
        <f t="shared" si="145"/>
        <v>0</v>
      </c>
      <c r="U1210" s="1">
        <f t="shared" si="146"/>
        <v>0</v>
      </c>
      <c r="V1210" s="1">
        <f t="shared" si="147"/>
        <v>0</v>
      </c>
      <c r="W1210" s="1">
        <f t="shared" si="148"/>
        <v>0</v>
      </c>
      <c r="X1210" s="1">
        <f t="shared" si="149"/>
        <v>0</v>
      </c>
      <c r="Y1210" s="1">
        <f t="shared" si="150"/>
        <v>0</v>
      </c>
      <c r="Z1210" s="1">
        <f t="shared" si="151"/>
        <v>0</v>
      </c>
      <c r="AA1210" s="1">
        <f t="shared" si="152"/>
        <v>0</v>
      </c>
    </row>
    <row r="1211" spans="9:27" x14ac:dyDescent="0.3">
      <c r="I1211" s="14"/>
      <c r="T1211" s="1">
        <f t="shared" si="145"/>
        <v>0</v>
      </c>
      <c r="U1211" s="1">
        <f t="shared" si="146"/>
        <v>0</v>
      </c>
      <c r="V1211" s="1">
        <f t="shared" si="147"/>
        <v>0</v>
      </c>
      <c r="W1211" s="1">
        <f t="shared" si="148"/>
        <v>0</v>
      </c>
      <c r="X1211" s="1">
        <f t="shared" si="149"/>
        <v>0</v>
      </c>
      <c r="Y1211" s="1">
        <f t="shared" si="150"/>
        <v>0</v>
      </c>
      <c r="Z1211" s="1">
        <f t="shared" si="151"/>
        <v>0</v>
      </c>
      <c r="AA1211" s="1">
        <f t="shared" si="152"/>
        <v>0</v>
      </c>
    </row>
    <row r="1212" spans="9:27" x14ac:dyDescent="0.3">
      <c r="I1212" s="14"/>
      <c r="T1212" s="1">
        <f t="shared" si="145"/>
        <v>0</v>
      </c>
      <c r="U1212" s="1">
        <f t="shared" si="146"/>
        <v>0</v>
      </c>
      <c r="V1212" s="1">
        <f t="shared" si="147"/>
        <v>0</v>
      </c>
      <c r="W1212" s="1">
        <f t="shared" si="148"/>
        <v>0</v>
      </c>
      <c r="X1212" s="1">
        <f t="shared" si="149"/>
        <v>0</v>
      </c>
      <c r="Y1212" s="1">
        <f t="shared" si="150"/>
        <v>0</v>
      </c>
      <c r="Z1212" s="1">
        <f t="shared" si="151"/>
        <v>0</v>
      </c>
      <c r="AA1212" s="1">
        <f t="shared" si="152"/>
        <v>0</v>
      </c>
    </row>
    <row r="1213" spans="9:27" x14ac:dyDescent="0.3">
      <c r="I1213" s="14"/>
      <c r="T1213" s="1">
        <f t="shared" si="145"/>
        <v>0</v>
      </c>
      <c r="U1213" s="1">
        <f t="shared" si="146"/>
        <v>0</v>
      </c>
      <c r="V1213" s="1">
        <f t="shared" si="147"/>
        <v>0</v>
      </c>
      <c r="W1213" s="1">
        <f t="shared" si="148"/>
        <v>0</v>
      </c>
      <c r="X1213" s="1">
        <f t="shared" si="149"/>
        <v>0</v>
      </c>
      <c r="Y1213" s="1">
        <f t="shared" si="150"/>
        <v>0</v>
      </c>
      <c r="Z1213" s="1">
        <f t="shared" si="151"/>
        <v>0</v>
      </c>
      <c r="AA1213" s="1">
        <f t="shared" si="152"/>
        <v>0</v>
      </c>
    </row>
    <row r="1214" spans="9:27" x14ac:dyDescent="0.3">
      <c r="I1214" s="14"/>
      <c r="T1214" s="1">
        <f t="shared" si="145"/>
        <v>0</v>
      </c>
      <c r="U1214" s="1">
        <f t="shared" si="146"/>
        <v>0</v>
      </c>
      <c r="V1214" s="1">
        <f t="shared" si="147"/>
        <v>0</v>
      </c>
      <c r="W1214" s="1">
        <f t="shared" si="148"/>
        <v>0</v>
      </c>
      <c r="X1214" s="1">
        <f t="shared" si="149"/>
        <v>0</v>
      </c>
      <c r="Y1214" s="1">
        <f t="shared" si="150"/>
        <v>0</v>
      </c>
      <c r="Z1214" s="1">
        <f t="shared" si="151"/>
        <v>0</v>
      </c>
      <c r="AA1214" s="1">
        <f t="shared" si="152"/>
        <v>0</v>
      </c>
    </row>
    <row r="1215" spans="9:27" x14ac:dyDescent="0.3">
      <c r="I1215" s="14"/>
      <c r="T1215" s="1">
        <f t="shared" si="145"/>
        <v>0</v>
      </c>
      <c r="U1215" s="1">
        <f t="shared" si="146"/>
        <v>0</v>
      </c>
      <c r="V1215" s="1">
        <f t="shared" si="147"/>
        <v>0</v>
      </c>
      <c r="W1215" s="1">
        <f t="shared" si="148"/>
        <v>0</v>
      </c>
      <c r="X1215" s="1">
        <f t="shared" si="149"/>
        <v>0</v>
      </c>
      <c r="Y1215" s="1">
        <f t="shared" si="150"/>
        <v>0</v>
      </c>
      <c r="Z1215" s="1">
        <f t="shared" si="151"/>
        <v>0</v>
      </c>
      <c r="AA1215" s="1">
        <f t="shared" si="152"/>
        <v>0</v>
      </c>
    </row>
    <row r="1216" spans="9:27" x14ac:dyDescent="0.3">
      <c r="I1216" s="14"/>
      <c r="T1216" s="1">
        <f t="shared" si="145"/>
        <v>0</v>
      </c>
      <c r="U1216" s="1">
        <f t="shared" si="146"/>
        <v>0</v>
      </c>
      <c r="V1216" s="1">
        <f t="shared" si="147"/>
        <v>0</v>
      </c>
      <c r="W1216" s="1">
        <f t="shared" si="148"/>
        <v>0</v>
      </c>
      <c r="X1216" s="1">
        <f t="shared" si="149"/>
        <v>0</v>
      </c>
      <c r="Y1216" s="1">
        <f t="shared" si="150"/>
        <v>0</v>
      </c>
      <c r="Z1216" s="1">
        <f t="shared" si="151"/>
        <v>0</v>
      </c>
      <c r="AA1216" s="1">
        <f t="shared" si="152"/>
        <v>0</v>
      </c>
    </row>
    <row r="1217" spans="9:27" x14ac:dyDescent="0.3">
      <c r="I1217" s="14"/>
      <c r="T1217" s="1">
        <f t="shared" si="145"/>
        <v>0</v>
      </c>
      <c r="U1217" s="1">
        <f t="shared" si="146"/>
        <v>0</v>
      </c>
      <c r="V1217" s="1">
        <f t="shared" si="147"/>
        <v>0</v>
      </c>
      <c r="W1217" s="1">
        <f t="shared" si="148"/>
        <v>0</v>
      </c>
      <c r="X1217" s="1">
        <f t="shared" si="149"/>
        <v>0</v>
      </c>
      <c r="Y1217" s="1">
        <f t="shared" si="150"/>
        <v>0</v>
      </c>
      <c r="Z1217" s="1">
        <f t="shared" si="151"/>
        <v>0</v>
      </c>
      <c r="AA1217" s="1">
        <f t="shared" si="152"/>
        <v>0</v>
      </c>
    </row>
    <row r="1218" spans="9:27" x14ac:dyDescent="0.3">
      <c r="I1218" s="14"/>
      <c r="T1218" s="1">
        <f t="shared" si="145"/>
        <v>0</v>
      </c>
      <c r="U1218" s="1">
        <f t="shared" si="146"/>
        <v>0</v>
      </c>
      <c r="V1218" s="1">
        <f t="shared" si="147"/>
        <v>0</v>
      </c>
      <c r="W1218" s="1">
        <f t="shared" si="148"/>
        <v>0</v>
      </c>
      <c r="X1218" s="1">
        <f t="shared" si="149"/>
        <v>0</v>
      </c>
      <c r="Y1218" s="1">
        <f t="shared" si="150"/>
        <v>0</v>
      </c>
      <c r="Z1218" s="1">
        <f t="shared" si="151"/>
        <v>0</v>
      </c>
      <c r="AA1218" s="1">
        <f t="shared" si="152"/>
        <v>0</v>
      </c>
    </row>
    <row r="1219" spans="9:27" x14ac:dyDescent="0.3">
      <c r="I1219" s="14"/>
      <c r="T1219" s="1">
        <f t="shared" si="145"/>
        <v>0</v>
      </c>
      <c r="U1219" s="1">
        <f t="shared" si="146"/>
        <v>0</v>
      </c>
      <c r="V1219" s="1">
        <f t="shared" si="147"/>
        <v>0</v>
      </c>
      <c r="W1219" s="1">
        <f t="shared" si="148"/>
        <v>0</v>
      </c>
      <c r="X1219" s="1">
        <f t="shared" si="149"/>
        <v>0</v>
      </c>
      <c r="Y1219" s="1">
        <f t="shared" si="150"/>
        <v>0</v>
      </c>
      <c r="Z1219" s="1">
        <f t="shared" si="151"/>
        <v>0</v>
      </c>
      <c r="AA1219" s="1">
        <f t="shared" si="152"/>
        <v>0</v>
      </c>
    </row>
    <row r="1220" spans="9:27" x14ac:dyDescent="0.3">
      <c r="I1220" s="14"/>
      <c r="T1220" s="1">
        <f t="shared" si="145"/>
        <v>0</v>
      </c>
      <c r="U1220" s="1">
        <f t="shared" si="146"/>
        <v>0</v>
      </c>
      <c r="V1220" s="1">
        <f t="shared" si="147"/>
        <v>0</v>
      </c>
      <c r="W1220" s="1">
        <f t="shared" si="148"/>
        <v>0</v>
      </c>
      <c r="X1220" s="1">
        <f t="shared" si="149"/>
        <v>0</v>
      </c>
      <c r="Y1220" s="1">
        <f t="shared" si="150"/>
        <v>0</v>
      </c>
      <c r="Z1220" s="1">
        <f t="shared" si="151"/>
        <v>0</v>
      </c>
      <c r="AA1220" s="1">
        <f t="shared" si="152"/>
        <v>0</v>
      </c>
    </row>
    <row r="1221" spans="9:27" x14ac:dyDescent="0.3">
      <c r="I1221" s="14"/>
      <c r="T1221" s="1">
        <f t="shared" si="145"/>
        <v>0</v>
      </c>
      <c r="U1221" s="1">
        <f t="shared" si="146"/>
        <v>0</v>
      </c>
      <c r="V1221" s="1">
        <f t="shared" si="147"/>
        <v>0</v>
      </c>
      <c r="W1221" s="1">
        <f t="shared" si="148"/>
        <v>0</v>
      </c>
      <c r="X1221" s="1">
        <f t="shared" si="149"/>
        <v>0</v>
      </c>
      <c r="Y1221" s="1">
        <f t="shared" si="150"/>
        <v>0</v>
      </c>
      <c r="Z1221" s="1">
        <f t="shared" si="151"/>
        <v>0</v>
      </c>
      <c r="AA1221" s="1">
        <f t="shared" si="152"/>
        <v>0</v>
      </c>
    </row>
    <row r="1222" spans="9:27" x14ac:dyDescent="0.3">
      <c r="I1222" s="14"/>
      <c r="T1222" s="1">
        <f t="shared" si="145"/>
        <v>0</v>
      </c>
      <c r="U1222" s="1">
        <f t="shared" si="146"/>
        <v>0</v>
      </c>
      <c r="V1222" s="1">
        <f t="shared" si="147"/>
        <v>0</v>
      </c>
      <c r="W1222" s="1">
        <f t="shared" si="148"/>
        <v>0</v>
      </c>
      <c r="X1222" s="1">
        <f t="shared" si="149"/>
        <v>0</v>
      </c>
      <c r="Y1222" s="1">
        <f t="shared" si="150"/>
        <v>0</v>
      </c>
      <c r="Z1222" s="1">
        <f t="shared" si="151"/>
        <v>0</v>
      </c>
      <c r="AA1222" s="1">
        <f t="shared" si="152"/>
        <v>0</v>
      </c>
    </row>
    <row r="1223" spans="9:27" x14ac:dyDescent="0.3">
      <c r="I1223" s="14"/>
      <c r="T1223" s="1">
        <f>IF(AND(G1223="-"),0,G1223*F1223)</f>
        <v>0</v>
      </c>
      <c r="U1223" s="1">
        <f>IF(AND(O1223="-"),0,O1223*N1223)</f>
        <v>0</v>
      </c>
      <c r="V1223" s="1">
        <f t="shared" ref="V1223:V1225" si="153">IFERROR(C1223*H1223,0)</f>
        <v>0</v>
      </c>
      <c r="W1223" s="1">
        <f t="shared" ref="W1223:W1225" si="154">IFERROR(K1223*P1223,0)</f>
        <v>0</v>
      </c>
      <c r="X1223" s="1">
        <f t="shared" ref="X1223:X1225" si="155">IFERROR(G1223*1,0)</f>
        <v>0</v>
      </c>
      <c r="Y1223" s="1">
        <f t="shared" ref="Y1223:Y1225" si="156">IFERROR(O1223*1,0)</f>
        <v>0</v>
      </c>
      <c r="Z1223" s="1">
        <f t="shared" ref="Z1223:Z1225" si="157">IFERROR(H1223*1,0)</f>
        <v>0</v>
      </c>
      <c r="AA1223" s="1">
        <f t="shared" ref="AA1223:AA1225" si="158">IFERROR(P1223*1,0)</f>
        <v>0</v>
      </c>
    </row>
    <row r="1224" spans="9:27" x14ac:dyDescent="0.3">
      <c r="I1224" s="14"/>
      <c r="T1224" s="1">
        <f>IF(AND(G1224="-"),0,G1224*F1224)</f>
        <v>0</v>
      </c>
      <c r="U1224" s="1">
        <f>IF(AND(O1224="-"),0,O1224*N1224)</f>
        <v>0</v>
      </c>
      <c r="V1224" s="1">
        <f t="shared" si="153"/>
        <v>0</v>
      </c>
      <c r="W1224" s="1">
        <f t="shared" si="154"/>
        <v>0</v>
      </c>
      <c r="X1224" s="1">
        <f t="shared" si="155"/>
        <v>0</v>
      </c>
      <c r="Y1224" s="1">
        <f t="shared" si="156"/>
        <v>0</v>
      </c>
      <c r="Z1224" s="1">
        <f t="shared" si="157"/>
        <v>0</v>
      </c>
      <c r="AA1224" s="1">
        <f t="shared" si="158"/>
        <v>0</v>
      </c>
    </row>
    <row r="1225" spans="9:27" x14ac:dyDescent="0.3">
      <c r="I1225" s="14"/>
      <c r="T1225" s="1">
        <f>IF(AND(G1225="-"),0,G1225*F1225)</f>
        <v>0</v>
      </c>
      <c r="U1225" s="1">
        <f>IF(AND(O1225="-"),0,O1225*N1225)</f>
        <v>0</v>
      </c>
      <c r="V1225" s="1">
        <f t="shared" si="153"/>
        <v>0</v>
      </c>
      <c r="W1225" s="1">
        <f t="shared" si="154"/>
        <v>0</v>
      </c>
      <c r="X1225" s="1">
        <f t="shared" si="155"/>
        <v>0</v>
      </c>
      <c r="Y1225" s="1">
        <f t="shared" si="156"/>
        <v>0</v>
      </c>
      <c r="Z1225" s="1">
        <f t="shared" si="157"/>
        <v>0</v>
      </c>
      <c r="AA1225" s="1">
        <f t="shared" si="158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44"/>
  <sheetViews>
    <sheetView workbookViewId="0"/>
  </sheetViews>
  <sheetFormatPr defaultRowHeight="13.2" x14ac:dyDescent="0.25"/>
  <cols>
    <col min="1" max="1" width="18.88671875" bestFit="1" customWidth="1"/>
    <col min="9" max="9" width="18.88671875" bestFit="1" customWidth="1"/>
    <col min="17" max="17" width="18.88671875" bestFit="1" customWidth="1"/>
    <col min="25" max="25" width="18.88671875" bestFit="1" customWidth="1"/>
    <col min="33" max="33" width="19.44140625" bestFit="1" customWidth="1"/>
    <col min="41" max="41" width="19.44140625" bestFit="1" customWidth="1"/>
  </cols>
  <sheetData>
    <row r="1" spans="1:47" x14ac:dyDescent="0.25">
      <c r="A1" s="20" t="s">
        <v>367</v>
      </c>
      <c r="Q1" s="20" t="s">
        <v>416</v>
      </c>
      <c r="AG1" s="20" t="s">
        <v>513</v>
      </c>
    </row>
    <row r="3" spans="1:47" x14ac:dyDescent="0.25">
      <c r="A3" t="e">
        <f ca="1">[1]!vf_GetOptions(A1)</f>
        <v>#NAME?</v>
      </c>
      <c r="B3" s="21" t="s">
        <v>1</v>
      </c>
      <c r="C3" s="21" t="s">
        <v>2</v>
      </c>
      <c r="D3" s="21" t="s">
        <v>3</v>
      </c>
      <c r="E3" s="21" t="s">
        <v>4</v>
      </c>
      <c r="F3" s="21" t="s">
        <v>5</v>
      </c>
      <c r="G3" s="21" t="s">
        <v>6</v>
      </c>
      <c r="H3" s="21" t="s">
        <v>7</v>
      </c>
      <c r="I3" s="21" t="s">
        <v>0</v>
      </c>
      <c r="J3" s="21" t="s">
        <v>1</v>
      </c>
      <c r="K3" s="21" t="s">
        <v>2</v>
      </c>
      <c r="L3" s="21" t="s">
        <v>3</v>
      </c>
      <c r="M3" s="21" t="s">
        <v>4</v>
      </c>
      <c r="N3" s="21" t="s">
        <v>5</v>
      </c>
      <c r="O3" s="21" t="s">
        <v>6</v>
      </c>
      <c r="Q3" t="e">
        <f ca="1">[1]!vf_GetOptions(A1)</f>
        <v>#NAME?</v>
      </c>
      <c r="R3" s="21" t="s">
        <v>1</v>
      </c>
      <c r="S3" s="21" t="s">
        <v>2</v>
      </c>
      <c r="T3" s="21" t="s">
        <v>3</v>
      </c>
      <c r="U3" s="21" t="s">
        <v>4</v>
      </c>
      <c r="V3" s="21" t="s">
        <v>5</v>
      </c>
      <c r="W3" s="21" t="s">
        <v>6</v>
      </c>
      <c r="X3" s="21" t="s">
        <v>7</v>
      </c>
      <c r="Y3" s="21" t="s">
        <v>0</v>
      </c>
      <c r="Z3" s="21" t="s">
        <v>1</v>
      </c>
      <c r="AA3" s="21" t="s">
        <v>2</v>
      </c>
      <c r="AB3" s="21" t="s">
        <v>3</v>
      </c>
      <c r="AC3" s="21" t="s">
        <v>4</v>
      </c>
      <c r="AD3" s="21" t="s">
        <v>5</v>
      </c>
      <c r="AE3" s="21" t="s">
        <v>6</v>
      </c>
      <c r="AG3" t="e">
        <f ca="1">[1]!vf_GetOptions(Q1)</f>
        <v>#NAME?</v>
      </c>
      <c r="AH3" s="21" t="s">
        <v>1</v>
      </c>
      <c r="AI3" s="21" t="s">
        <v>2</v>
      </c>
      <c r="AJ3" s="21" t="s">
        <v>3</v>
      </c>
      <c r="AK3" s="21" t="s">
        <v>4</v>
      </c>
      <c r="AL3" s="21" t="s">
        <v>5</v>
      </c>
      <c r="AM3" s="21" t="s">
        <v>6</v>
      </c>
      <c r="AN3" s="21" t="s">
        <v>7</v>
      </c>
      <c r="AO3" s="21" t="s">
        <v>0</v>
      </c>
      <c r="AP3" s="21" t="s">
        <v>1</v>
      </c>
      <c r="AQ3" s="21" t="s">
        <v>2</v>
      </c>
      <c r="AR3" s="21" t="s">
        <v>3</v>
      </c>
      <c r="AS3" s="21" t="s">
        <v>4</v>
      </c>
      <c r="AT3" s="21" t="s">
        <v>5</v>
      </c>
      <c r="AU3" s="21" t="s">
        <v>6</v>
      </c>
    </row>
    <row r="4" spans="1:47" x14ac:dyDescent="0.25">
      <c r="A4" s="21" t="s">
        <v>368</v>
      </c>
      <c r="B4" s="21" t="s">
        <v>366</v>
      </c>
      <c r="C4" s="21" t="s">
        <v>366</v>
      </c>
      <c r="D4" s="21" t="s">
        <v>366</v>
      </c>
      <c r="E4" s="21" t="s">
        <v>366</v>
      </c>
      <c r="F4" s="21" t="s">
        <v>366</v>
      </c>
      <c r="G4" s="21" t="s">
        <v>366</v>
      </c>
      <c r="H4" s="21">
        <v>32.5</v>
      </c>
      <c r="I4" s="21" t="s">
        <v>369</v>
      </c>
      <c r="J4" s="21">
        <v>0.12</v>
      </c>
      <c r="K4" s="21">
        <v>0</v>
      </c>
      <c r="L4" s="21">
        <v>0</v>
      </c>
      <c r="M4" s="21">
        <v>0.15</v>
      </c>
      <c r="N4" s="21">
        <v>0</v>
      </c>
      <c r="O4" s="21">
        <v>5</v>
      </c>
      <c r="Q4" s="21" t="s">
        <v>368</v>
      </c>
      <c r="R4" s="21" t="s">
        <v>366</v>
      </c>
      <c r="S4" s="21" t="s">
        <v>366</v>
      </c>
      <c r="T4" s="21" t="s">
        <v>366</v>
      </c>
      <c r="U4" s="21" t="s">
        <v>366</v>
      </c>
      <c r="V4" s="21" t="s">
        <v>366</v>
      </c>
      <c r="W4" s="21" t="s">
        <v>366</v>
      </c>
      <c r="X4" s="21">
        <v>32.5</v>
      </c>
      <c r="Y4" s="21" t="s">
        <v>369</v>
      </c>
      <c r="Z4" s="21">
        <v>0.12</v>
      </c>
      <c r="AA4" s="21">
        <v>0</v>
      </c>
      <c r="AB4" s="21">
        <v>0</v>
      </c>
      <c r="AC4" s="21">
        <v>0.15</v>
      </c>
      <c r="AD4" s="21">
        <v>0</v>
      </c>
      <c r="AE4" s="21">
        <v>5</v>
      </c>
      <c r="AG4" s="21" t="s">
        <v>417</v>
      </c>
      <c r="AH4" s="21">
        <v>12.6</v>
      </c>
      <c r="AI4" s="21">
        <v>0</v>
      </c>
      <c r="AJ4" s="21">
        <v>1.45</v>
      </c>
      <c r="AK4" s="21">
        <v>2.6</v>
      </c>
      <c r="AL4" s="21">
        <v>2</v>
      </c>
      <c r="AM4" s="21">
        <v>0</v>
      </c>
      <c r="AN4" s="21">
        <v>75</v>
      </c>
      <c r="AO4" s="21" t="s">
        <v>418</v>
      </c>
      <c r="AP4" s="21" t="s">
        <v>366</v>
      </c>
      <c r="AQ4" s="21" t="s">
        <v>366</v>
      </c>
      <c r="AR4" s="21" t="s">
        <v>366</v>
      </c>
      <c r="AS4" s="21" t="s">
        <v>366</v>
      </c>
      <c r="AT4" s="21" t="s">
        <v>366</v>
      </c>
      <c r="AU4" s="21" t="s">
        <v>366</v>
      </c>
    </row>
    <row r="5" spans="1:47" x14ac:dyDescent="0.25">
      <c r="A5" s="21" t="s">
        <v>370</v>
      </c>
      <c r="B5" s="21" t="s">
        <v>366</v>
      </c>
      <c r="C5" s="21" t="s">
        <v>366</v>
      </c>
      <c r="D5" s="21" t="s">
        <v>366</v>
      </c>
      <c r="E5" s="21" t="s">
        <v>366</v>
      </c>
      <c r="F5" s="21" t="s">
        <v>366</v>
      </c>
      <c r="G5" s="21" t="s">
        <v>366</v>
      </c>
      <c r="H5" s="21">
        <v>35</v>
      </c>
      <c r="I5" s="21" t="s">
        <v>371</v>
      </c>
      <c r="J5" s="21">
        <v>0.05</v>
      </c>
      <c r="K5" s="21">
        <v>0</v>
      </c>
      <c r="L5" s="21">
        <v>0</v>
      </c>
      <c r="M5" s="21">
        <v>0.15</v>
      </c>
      <c r="N5" s="21">
        <v>1</v>
      </c>
      <c r="O5" s="21">
        <v>6</v>
      </c>
      <c r="Q5" s="21" t="s">
        <v>370</v>
      </c>
      <c r="R5" s="21" t="s">
        <v>366</v>
      </c>
      <c r="S5" s="21" t="s">
        <v>366</v>
      </c>
      <c r="T5" s="21" t="s">
        <v>366</v>
      </c>
      <c r="U5" s="21" t="s">
        <v>366</v>
      </c>
      <c r="V5" s="21" t="s">
        <v>366</v>
      </c>
      <c r="W5" s="21" t="s">
        <v>366</v>
      </c>
      <c r="X5" s="21">
        <v>35</v>
      </c>
      <c r="Y5" s="21" t="s">
        <v>371</v>
      </c>
      <c r="Z5" s="21">
        <v>0.05</v>
      </c>
      <c r="AA5" s="21">
        <v>0</v>
      </c>
      <c r="AB5" s="21">
        <v>0</v>
      </c>
      <c r="AC5" s="21">
        <v>0.15</v>
      </c>
      <c r="AD5" s="21">
        <v>1</v>
      </c>
      <c r="AE5" s="21">
        <v>6</v>
      </c>
      <c r="AG5" s="21" t="s">
        <v>419</v>
      </c>
      <c r="AH5" s="21">
        <v>0.25</v>
      </c>
      <c r="AI5" s="21">
        <v>0</v>
      </c>
      <c r="AJ5" s="21">
        <v>0</v>
      </c>
      <c r="AK5" s="21">
        <v>0.5</v>
      </c>
      <c r="AL5" s="21">
        <v>30</v>
      </c>
      <c r="AM5" s="21">
        <v>32</v>
      </c>
      <c r="AN5" s="21">
        <v>80</v>
      </c>
      <c r="AO5" s="21" t="s">
        <v>420</v>
      </c>
      <c r="AP5" s="21">
        <v>2.65</v>
      </c>
      <c r="AQ5" s="21">
        <v>-0.35</v>
      </c>
      <c r="AR5" s="21">
        <v>2.2000000000000002</v>
      </c>
      <c r="AS5" s="21">
        <v>4</v>
      </c>
      <c r="AT5" s="21">
        <v>27</v>
      </c>
      <c r="AU5" s="21">
        <v>34</v>
      </c>
    </row>
    <row r="6" spans="1:47" x14ac:dyDescent="0.25">
      <c r="A6" s="21" t="s">
        <v>372</v>
      </c>
      <c r="B6" s="21" t="s">
        <v>366</v>
      </c>
      <c r="C6" s="21" t="s">
        <v>366</v>
      </c>
      <c r="D6" s="21" t="s">
        <v>366</v>
      </c>
      <c r="E6" s="21" t="s">
        <v>366</v>
      </c>
      <c r="F6" s="21" t="s">
        <v>366</v>
      </c>
      <c r="G6" s="21" t="s">
        <v>366</v>
      </c>
      <c r="H6" s="21">
        <v>37.5</v>
      </c>
      <c r="I6" s="21" t="s">
        <v>373</v>
      </c>
      <c r="J6" s="21">
        <v>0.05</v>
      </c>
      <c r="K6" s="21">
        <v>0</v>
      </c>
      <c r="L6" s="21">
        <v>0</v>
      </c>
      <c r="M6" s="21">
        <v>0.15</v>
      </c>
      <c r="N6" s="21">
        <v>0</v>
      </c>
      <c r="O6" s="21">
        <v>22</v>
      </c>
      <c r="Q6" s="21" t="s">
        <v>372</v>
      </c>
      <c r="R6" s="21" t="s">
        <v>366</v>
      </c>
      <c r="S6" s="21" t="s">
        <v>366</v>
      </c>
      <c r="T6" s="21" t="s">
        <v>366</v>
      </c>
      <c r="U6" s="21" t="s">
        <v>366</v>
      </c>
      <c r="V6" s="21" t="s">
        <v>366</v>
      </c>
      <c r="W6" s="21" t="s">
        <v>366</v>
      </c>
      <c r="X6" s="21">
        <v>37.5</v>
      </c>
      <c r="Y6" s="21" t="s">
        <v>373</v>
      </c>
      <c r="Z6" s="21">
        <v>0.05</v>
      </c>
      <c r="AA6" s="21">
        <v>0</v>
      </c>
      <c r="AB6" s="21">
        <v>0</v>
      </c>
      <c r="AC6" s="21">
        <v>0.15</v>
      </c>
      <c r="AD6" s="21">
        <v>0</v>
      </c>
      <c r="AE6" s="21">
        <v>22</v>
      </c>
      <c r="AG6" s="21" t="s">
        <v>421</v>
      </c>
      <c r="AH6" s="21">
        <v>0.65</v>
      </c>
      <c r="AI6" s="21">
        <v>0</v>
      </c>
      <c r="AJ6" s="21">
        <v>0</v>
      </c>
      <c r="AK6" s="21">
        <v>0.25</v>
      </c>
      <c r="AL6" s="21">
        <v>4</v>
      </c>
      <c r="AM6" s="21">
        <v>59</v>
      </c>
      <c r="AN6" s="21">
        <v>85</v>
      </c>
      <c r="AO6" s="21" t="s">
        <v>422</v>
      </c>
      <c r="AP6" s="21">
        <v>4.4000000000000004</v>
      </c>
      <c r="AQ6" s="21">
        <v>0</v>
      </c>
      <c r="AR6" s="21">
        <v>7.2</v>
      </c>
      <c r="AS6" s="21">
        <v>9.1</v>
      </c>
      <c r="AT6" s="21">
        <v>1</v>
      </c>
      <c r="AU6" s="21">
        <v>28</v>
      </c>
    </row>
    <row r="7" spans="1:47" x14ac:dyDescent="0.25">
      <c r="A7" s="21" t="s">
        <v>374</v>
      </c>
      <c r="B7" s="21">
        <v>2.1</v>
      </c>
      <c r="C7" s="21">
        <v>-3.48</v>
      </c>
      <c r="D7" s="21">
        <v>1.9</v>
      </c>
      <c r="E7" s="21">
        <v>2.4</v>
      </c>
      <c r="F7" s="21">
        <v>5</v>
      </c>
      <c r="G7" s="21">
        <v>11</v>
      </c>
      <c r="H7" s="21">
        <v>40</v>
      </c>
      <c r="I7" s="21" t="s">
        <v>375</v>
      </c>
      <c r="J7" s="21">
        <v>0.15</v>
      </c>
      <c r="K7" s="21">
        <v>0.08</v>
      </c>
      <c r="L7" s="21">
        <v>0</v>
      </c>
      <c r="M7" s="21">
        <v>0.15</v>
      </c>
      <c r="N7" s="21">
        <v>1</v>
      </c>
      <c r="O7" s="21">
        <v>65</v>
      </c>
      <c r="Q7" s="21" t="s">
        <v>374</v>
      </c>
      <c r="R7" s="21">
        <v>2.1</v>
      </c>
      <c r="S7" s="21">
        <v>-3.48</v>
      </c>
      <c r="T7" s="21">
        <v>1.9</v>
      </c>
      <c r="U7" s="21">
        <v>2.4</v>
      </c>
      <c r="V7" s="21">
        <v>5</v>
      </c>
      <c r="W7" s="21">
        <v>11</v>
      </c>
      <c r="X7" s="21">
        <v>40</v>
      </c>
      <c r="Y7" s="21" t="s">
        <v>375</v>
      </c>
      <c r="Z7" s="21">
        <v>0.15</v>
      </c>
      <c r="AA7" s="21">
        <v>0.08</v>
      </c>
      <c r="AB7" s="21">
        <v>0</v>
      </c>
      <c r="AC7" s="21">
        <v>0.15</v>
      </c>
      <c r="AD7" s="21">
        <v>1</v>
      </c>
      <c r="AE7" s="21">
        <v>65</v>
      </c>
      <c r="AG7" s="21" t="s">
        <v>423</v>
      </c>
      <c r="AH7" s="21">
        <v>0.14000000000000001</v>
      </c>
      <c r="AI7" s="21">
        <v>0</v>
      </c>
      <c r="AJ7" s="21">
        <v>0</v>
      </c>
      <c r="AK7" s="21">
        <v>0.25</v>
      </c>
      <c r="AL7" s="21">
        <v>3</v>
      </c>
      <c r="AM7" s="21">
        <v>62</v>
      </c>
      <c r="AN7" s="21">
        <v>90</v>
      </c>
      <c r="AO7" s="21" t="s">
        <v>424</v>
      </c>
      <c r="AP7" s="21">
        <v>7.3</v>
      </c>
      <c r="AQ7" s="21">
        <v>0</v>
      </c>
      <c r="AR7" s="21">
        <v>12.1</v>
      </c>
      <c r="AS7" s="21">
        <v>14.3</v>
      </c>
      <c r="AT7" s="21">
        <v>14</v>
      </c>
      <c r="AU7" s="21">
        <v>14</v>
      </c>
    </row>
    <row r="8" spans="1:47" x14ac:dyDescent="0.25">
      <c r="A8" s="21" t="s">
        <v>376</v>
      </c>
      <c r="B8" s="21">
        <v>0.3</v>
      </c>
      <c r="C8" s="21">
        <v>-1.84</v>
      </c>
      <c r="D8" s="21">
        <v>0.2</v>
      </c>
      <c r="E8" s="21">
        <v>0.4</v>
      </c>
      <c r="F8" s="21">
        <v>20</v>
      </c>
      <c r="G8" s="21">
        <v>109</v>
      </c>
      <c r="H8" s="21">
        <v>42.5</v>
      </c>
      <c r="I8" s="21" t="s">
        <v>377</v>
      </c>
      <c r="J8" s="21">
        <v>0.3</v>
      </c>
      <c r="K8" s="21">
        <v>0.08</v>
      </c>
      <c r="L8" s="21">
        <v>0.45</v>
      </c>
      <c r="M8" s="21">
        <v>0.75</v>
      </c>
      <c r="N8" s="21">
        <v>1</v>
      </c>
      <c r="O8" s="21">
        <v>390</v>
      </c>
      <c r="Q8" s="21" t="s">
        <v>376</v>
      </c>
      <c r="R8" s="21">
        <v>0.3</v>
      </c>
      <c r="S8" s="21">
        <v>-1.84</v>
      </c>
      <c r="T8" s="21">
        <v>0.2</v>
      </c>
      <c r="U8" s="21">
        <v>0.4</v>
      </c>
      <c r="V8" s="21">
        <v>20</v>
      </c>
      <c r="W8" s="21">
        <v>109</v>
      </c>
      <c r="X8" s="21">
        <v>42.5</v>
      </c>
      <c r="Y8" s="21" t="s">
        <v>377</v>
      </c>
      <c r="Z8" s="21">
        <v>0.3</v>
      </c>
      <c r="AA8" s="21">
        <v>0.08</v>
      </c>
      <c r="AB8" s="21">
        <v>0.45</v>
      </c>
      <c r="AC8" s="21">
        <v>0.75</v>
      </c>
      <c r="AD8" s="21">
        <v>1</v>
      </c>
      <c r="AE8" s="21">
        <v>390</v>
      </c>
      <c r="AG8" s="21" t="s">
        <v>425</v>
      </c>
      <c r="AH8" s="21">
        <v>1.3</v>
      </c>
      <c r="AI8" s="21">
        <v>0</v>
      </c>
      <c r="AJ8" s="21">
        <v>0</v>
      </c>
      <c r="AK8" s="21">
        <v>0.25</v>
      </c>
      <c r="AL8" s="21">
        <v>4</v>
      </c>
      <c r="AM8" s="21">
        <v>15</v>
      </c>
      <c r="AN8" s="21">
        <v>95</v>
      </c>
      <c r="AO8" s="21" t="s">
        <v>426</v>
      </c>
      <c r="AP8" s="21">
        <v>3</v>
      </c>
      <c r="AQ8" s="21">
        <v>0</v>
      </c>
      <c r="AR8" s="21">
        <v>17.100000000000001</v>
      </c>
      <c r="AS8" s="21">
        <v>19.2</v>
      </c>
      <c r="AT8" s="21">
        <v>14</v>
      </c>
      <c r="AU8" s="21">
        <v>34</v>
      </c>
    </row>
    <row r="9" spans="1:47" x14ac:dyDescent="0.25">
      <c r="A9" s="21" t="s">
        <v>378</v>
      </c>
      <c r="B9" s="21">
        <v>0.2</v>
      </c>
      <c r="C9" s="21">
        <v>0</v>
      </c>
      <c r="D9" s="21">
        <v>0</v>
      </c>
      <c r="E9" s="21">
        <v>0.15</v>
      </c>
      <c r="F9" s="21">
        <v>2</v>
      </c>
      <c r="G9" s="21">
        <v>145</v>
      </c>
      <c r="H9" s="21">
        <v>45</v>
      </c>
      <c r="I9" s="21" t="s">
        <v>379</v>
      </c>
      <c r="J9" s="21">
        <v>2.93</v>
      </c>
      <c r="K9" s="21">
        <v>1.48</v>
      </c>
      <c r="L9" s="21">
        <v>2.6</v>
      </c>
      <c r="M9" s="21">
        <v>3.2</v>
      </c>
      <c r="N9" s="21">
        <v>234</v>
      </c>
      <c r="O9" s="21">
        <v>1108</v>
      </c>
      <c r="Q9" s="21" t="s">
        <v>378</v>
      </c>
      <c r="R9" s="21">
        <v>0.2</v>
      </c>
      <c r="S9" s="21">
        <v>0</v>
      </c>
      <c r="T9" s="21">
        <v>0</v>
      </c>
      <c r="U9" s="21">
        <v>0.15</v>
      </c>
      <c r="V9" s="21">
        <v>2</v>
      </c>
      <c r="W9" s="21">
        <v>145</v>
      </c>
      <c r="X9" s="21">
        <v>45</v>
      </c>
      <c r="Y9" s="21" t="s">
        <v>379</v>
      </c>
      <c r="Z9" s="21">
        <v>2.93</v>
      </c>
      <c r="AA9" s="21">
        <v>1.48</v>
      </c>
      <c r="AB9" s="21">
        <v>2.6</v>
      </c>
      <c r="AC9" s="21">
        <v>3.2</v>
      </c>
      <c r="AD9" s="21">
        <v>234</v>
      </c>
      <c r="AE9" s="21">
        <v>1108</v>
      </c>
      <c r="AG9" s="21" t="s">
        <v>427</v>
      </c>
      <c r="AH9" s="21">
        <v>0.3</v>
      </c>
      <c r="AI9" s="21">
        <v>0</v>
      </c>
      <c r="AJ9" s="21">
        <v>0</v>
      </c>
      <c r="AK9" s="21">
        <v>0.25</v>
      </c>
      <c r="AL9" s="21">
        <v>1</v>
      </c>
      <c r="AM9" s="21">
        <v>1</v>
      </c>
      <c r="AN9" s="21">
        <v>105</v>
      </c>
      <c r="AO9" s="21" t="s">
        <v>428</v>
      </c>
      <c r="AP9" s="21" t="s">
        <v>366</v>
      </c>
      <c r="AQ9" s="21" t="s">
        <v>366</v>
      </c>
      <c r="AR9" s="21" t="s">
        <v>366</v>
      </c>
      <c r="AS9" s="21" t="s">
        <v>366</v>
      </c>
      <c r="AT9" s="21" t="s">
        <v>366</v>
      </c>
      <c r="AU9" s="21" t="s">
        <v>366</v>
      </c>
    </row>
    <row r="10" spans="1:47" x14ac:dyDescent="0.25">
      <c r="A10" s="21" t="s">
        <v>380</v>
      </c>
      <c r="B10" s="21">
        <v>0.02</v>
      </c>
      <c r="C10" s="21">
        <v>-0.03</v>
      </c>
      <c r="D10" s="21">
        <v>0</v>
      </c>
      <c r="E10" s="21">
        <v>0.1</v>
      </c>
      <c r="F10" s="21">
        <v>10</v>
      </c>
      <c r="G10" s="21">
        <v>953</v>
      </c>
      <c r="H10" s="21">
        <v>47.5</v>
      </c>
      <c r="I10" s="21" t="s">
        <v>381</v>
      </c>
      <c r="J10" s="21">
        <v>5.6</v>
      </c>
      <c r="K10" s="21">
        <v>1.8</v>
      </c>
      <c r="L10" s="21">
        <v>5.0999999999999996</v>
      </c>
      <c r="M10" s="21">
        <v>5.6</v>
      </c>
      <c r="N10" s="21">
        <v>55</v>
      </c>
      <c r="O10" s="21">
        <v>857</v>
      </c>
      <c r="Q10" s="21" t="s">
        <v>380</v>
      </c>
      <c r="R10" s="21">
        <v>0.02</v>
      </c>
      <c r="S10" s="21">
        <v>-0.03</v>
      </c>
      <c r="T10" s="21">
        <v>0</v>
      </c>
      <c r="U10" s="21">
        <v>0.1</v>
      </c>
      <c r="V10" s="21">
        <v>10</v>
      </c>
      <c r="W10" s="21">
        <v>953</v>
      </c>
      <c r="X10" s="21">
        <v>47.5</v>
      </c>
      <c r="Y10" s="21" t="s">
        <v>381</v>
      </c>
      <c r="Z10" s="21">
        <v>5.6</v>
      </c>
      <c r="AA10" s="21">
        <v>1.8</v>
      </c>
      <c r="AB10" s="21">
        <v>5.0999999999999996</v>
      </c>
      <c r="AC10" s="21">
        <v>5.6</v>
      </c>
      <c r="AD10" s="21">
        <v>55</v>
      </c>
      <c r="AE10" s="21">
        <v>857</v>
      </c>
      <c r="AG10" s="21" t="s">
        <v>429</v>
      </c>
      <c r="AH10" s="21" t="s">
        <v>366</v>
      </c>
      <c r="AI10" s="21" t="s">
        <v>366</v>
      </c>
      <c r="AJ10" s="21" t="s">
        <v>366</v>
      </c>
      <c r="AK10" s="21" t="s">
        <v>366</v>
      </c>
      <c r="AL10" s="21" t="s">
        <v>366</v>
      </c>
      <c r="AM10" s="21" t="s">
        <v>366</v>
      </c>
      <c r="AN10" s="21">
        <v>65</v>
      </c>
      <c r="AO10" s="21" t="s">
        <v>430</v>
      </c>
      <c r="AP10" s="21">
        <v>0.1</v>
      </c>
      <c r="AQ10" s="21">
        <v>0</v>
      </c>
      <c r="AR10" s="21">
        <v>0.05</v>
      </c>
      <c r="AS10" s="21">
        <v>0.4</v>
      </c>
      <c r="AT10" s="21">
        <v>25</v>
      </c>
      <c r="AU10" s="21">
        <v>25</v>
      </c>
    </row>
    <row r="11" spans="1:47" x14ac:dyDescent="0.25">
      <c r="A11" s="21" t="s">
        <v>382</v>
      </c>
      <c r="B11" s="21">
        <v>0.05</v>
      </c>
      <c r="C11" s="21">
        <v>0</v>
      </c>
      <c r="D11" s="21">
        <v>0</v>
      </c>
      <c r="E11" s="21">
        <v>0.05</v>
      </c>
      <c r="F11" s="21">
        <v>8</v>
      </c>
      <c r="G11" s="21">
        <v>1801</v>
      </c>
      <c r="H11" s="21">
        <v>50</v>
      </c>
      <c r="I11" s="21" t="s">
        <v>383</v>
      </c>
      <c r="J11" s="21">
        <v>7.82</v>
      </c>
      <c r="K11" s="21">
        <v>1.53</v>
      </c>
      <c r="L11" s="21">
        <v>7.4</v>
      </c>
      <c r="M11" s="21">
        <v>8.1999999999999993</v>
      </c>
      <c r="N11" s="21">
        <v>12</v>
      </c>
      <c r="O11" s="21">
        <v>1104</v>
      </c>
      <c r="Q11" s="21" t="s">
        <v>382</v>
      </c>
      <c r="R11" s="21">
        <v>0.05</v>
      </c>
      <c r="S11" s="21">
        <v>0</v>
      </c>
      <c r="T11" s="21">
        <v>0</v>
      </c>
      <c r="U11" s="21">
        <v>0.05</v>
      </c>
      <c r="V11" s="21">
        <v>8</v>
      </c>
      <c r="W11" s="21">
        <v>1801</v>
      </c>
      <c r="X11" s="21">
        <v>50</v>
      </c>
      <c r="Y11" s="21" t="s">
        <v>383</v>
      </c>
      <c r="Z11" s="21">
        <v>7.82</v>
      </c>
      <c r="AA11" s="21">
        <v>1.53</v>
      </c>
      <c r="AB11" s="21">
        <v>7.4</v>
      </c>
      <c r="AC11" s="21">
        <v>8.1999999999999993</v>
      </c>
      <c r="AD11" s="21">
        <v>12</v>
      </c>
      <c r="AE11" s="21">
        <v>1104</v>
      </c>
      <c r="AG11" s="21" t="s">
        <v>431</v>
      </c>
      <c r="AH11" s="21" t="s">
        <v>366</v>
      </c>
      <c r="AI11" s="21" t="s">
        <v>366</v>
      </c>
      <c r="AJ11" s="21" t="s">
        <v>366</v>
      </c>
      <c r="AK11" s="21" t="s">
        <v>366</v>
      </c>
      <c r="AL11" s="21" t="s">
        <v>366</v>
      </c>
      <c r="AM11" s="21" t="s">
        <v>366</v>
      </c>
      <c r="AN11" s="21">
        <v>75</v>
      </c>
      <c r="AO11" s="21" t="s">
        <v>432</v>
      </c>
      <c r="AP11" s="21">
        <v>1</v>
      </c>
      <c r="AQ11" s="21">
        <v>0</v>
      </c>
      <c r="AR11" s="21">
        <v>0.95</v>
      </c>
      <c r="AS11" s="21">
        <v>1.95</v>
      </c>
      <c r="AT11" s="21">
        <v>2</v>
      </c>
      <c r="AU11" s="21">
        <v>5</v>
      </c>
    </row>
    <row r="12" spans="1:47" x14ac:dyDescent="0.25">
      <c r="A12" s="21" t="s">
        <v>384</v>
      </c>
      <c r="B12" s="21">
        <v>0.05</v>
      </c>
      <c r="C12" s="21">
        <v>-0.1</v>
      </c>
      <c r="D12" s="21">
        <v>0</v>
      </c>
      <c r="E12" s="21">
        <v>0.05</v>
      </c>
      <c r="F12" s="21">
        <v>2</v>
      </c>
      <c r="G12" s="21">
        <v>2833</v>
      </c>
      <c r="H12" s="21">
        <v>52.5</v>
      </c>
      <c r="I12" s="21" t="s">
        <v>385</v>
      </c>
      <c r="J12" s="21">
        <v>10.06</v>
      </c>
      <c r="K12" s="21">
        <v>4.67</v>
      </c>
      <c r="L12" s="21">
        <v>9.5</v>
      </c>
      <c r="M12" s="21">
        <v>10.7</v>
      </c>
      <c r="N12" s="21">
        <v>1</v>
      </c>
      <c r="O12" s="21">
        <v>287</v>
      </c>
      <c r="Q12" s="21" t="s">
        <v>384</v>
      </c>
      <c r="R12" s="21">
        <v>0.05</v>
      </c>
      <c r="S12" s="21">
        <v>-0.1</v>
      </c>
      <c r="T12" s="21">
        <v>0</v>
      </c>
      <c r="U12" s="21">
        <v>0.05</v>
      </c>
      <c r="V12" s="21">
        <v>2</v>
      </c>
      <c r="W12" s="21">
        <v>2833</v>
      </c>
      <c r="X12" s="21">
        <v>52.5</v>
      </c>
      <c r="Y12" s="21" t="s">
        <v>385</v>
      </c>
      <c r="Z12" s="21">
        <v>10.06</v>
      </c>
      <c r="AA12" s="21">
        <v>4.67</v>
      </c>
      <c r="AB12" s="21">
        <v>9.5</v>
      </c>
      <c r="AC12" s="21">
        <v>10.7</v>
      </c>
      <c r="AD12" s="21">
        <v>1</v>
      </c>
      <c r="AE12" s="21">
        <v>287</v>
      </c>
      <c r="AG12" s="21" t="s">
        <v>433</v>
      </c>
      <c r="AH12" s="21">
        <v>1.45</v>
      </c>
      <c r="AI12" s="21">
        <v>0</v>
      </c>
      <c r="AJ12" s="21">
        <v>0.8</v>
      </c>
      <c r="AK12" s="21">
        <v>1.3</v>
      </c>
      <c r="AL12" s="21">
        <v>101</v>
      </c>
      <c r="AM12" s="21">
        <v>121</v>
      </c>
      <c r="AN12" s="21">
        <v>80</v>
      </c>
      <c r="AO12" s="21" t="s">
        <v>434</v>
      </c>
      <c r="AP12" s="21">
        <v>2</v>
      </c>
      <c r="AQ12" s="21">
        <v>0</v>
      </c>
      <c r="AR12" s="21">
        <v>3.3</v>
      </c>
      <c r="AS12" s="21">
        <v>4.9000000000000004</v>
      </c>
      <c r="AT12" s="21">
        <v>4</v>
      </c>
      <c r="AU12" s="21">
        <v>15</v>
      </c>
    </row>
    <row r="13" spans="1:47" x14ac:dyDescent="0.25">
      <c r="A13" s="21" t="s">
        <v>386</v>
      </c>
      <c r="B13" s="21">
        <v>0.1</v>
      </c>
      <c r="C13" s="21">
        <v>0</v>
      </c>
      <c r="D13" s="21">
        <v>0</v>
      </c>
      <c r="E13" s="21">
        <v>0.1</v>
      </c>
      <c r="F13" s="21">
        <v>4</v>
      </c>
      <c r="G13" s="21">
        <v>820</v>
      </c>
      <c r="H13" s="21">
        <v>55</v>
      </c>
      <c r="I13" s="21" t="s">
        <v>387</v>
      </c>
      <c r="J13" s="21">
        <v>10.65</v>
      </c>
      <c r="K13" s="21">
        <v>0</v>
      </c>
      <c r="L13" s="21">
        <v>12.4</v>
      </c>
      <c r="M13" s="21">
        <v>13.3</v>
      </c>
      <c r="N13" s="21">
        <v>60</v>
      </c>
      <c r="O13" s="21">
        <v>25</v>
      </c>
      <c r="Q13" s="21" t="s">
        <v>386</v>
      </c>
      <c r="R13" s="21">
        <v>0.1</v>
      </c>
      <c r="S13" s="21">
        <v>0</v>
      </c>
      <c r="T13" s="21">
        <v>0</v>
      </c>
      <c r="U13" s="21">
        <v>0.1</v>
      </c>
      <c r="V13" s="21">
        <v>4</v>
      </c>
      <c r="W13" s="21">
        <v>820</v>
      </c>
      <c r="X13" s="21">
        <v>55</v>
      </c>
      <c r="Y13" s="21" t="s">
        <v>387</v>
      </c>
      <c r="Z13" s="21">
        <v>10.65</v>
      </c>
      <c r="AA13" s="21">
        <v>0</v>
      </c>
      <c r="AB13" s="21">
        <v>12.4</v>
      </c>
      <c r="AC13" s="21">
        <v>13.3</v>
      </c>
      <c r="AD13" s="21">
        <v>60</v>
      </c>
      <c r="AE13" s="21">
        <v>25</v>
      </c>
      <c r="AG13" s="21" t="s">
        <v>435</v>
      </c>
      <c r="AH13" s="21">
        <v>0.35</v>
      </c>
      <c r="AI13" s="21">
        <v>0</v>
      </c>
      <c r="AJ13" s="21">
        <v>0.05</v>
      </c>
      <c r="AK13" s="21">
        <v>0.4</v>
      </c>
      <c r="AL13" s="21">
        <v>6</v>
      </c>
      <c r="AM13" s="21">
        <v>11</v>
      </c>
      <c r="AN13" s="21">
        <v>85</v>
      </c>
      <c r="AO13" s="21" t="s">
        <v>436</v>
      </c>
      <c r="AP13" s="21">
        <v>3.5</v>
      </c>
      <c r="AQ13" s="21">
        <v>0</v>
      </c>
      <c r="AR13" s="21">
        <v>7.2</v>
      </c>
      <c r="AS13" s="21">
        <v>9.6999999999999993</v>
      </c>
      <c r="AT13" s="21">
        <v>10</v>
      </c>
      <c r="AU13" s="21">
        <v>15</v>
      </c>
    </row>
    <row r="14" spans="1:47" x14ac:dyDescent="0.25">
      <c r="A14" s="21" t="s">
        <v>388</v>
      </c>
      <c r="B14" s="21">
        <v>0.01</v>
      </c>
      <c r="C14" s="21">
        <v>0</v>
      </c>
      <c r="D14" s="21">
        <v>0</v>
      </c>
      <c r="E14" s="21">
        <v>0.1</v>
      </c>
      <c r="F14" s="21">
        <v>20</v>
      </c>
      <c r="G14" s="21">
        <v>115</v>
      </c>
      <c r="H14" s="21">
        <v>57.5</v>
      </c>
      <c r="I14" s="21" t="s">
        <v>389</v>
      </c>
      <c r="J14" s="21">
        <v>6</v>
      </c>
      <c r="K14" s="21">
        <v>0</v>
      </c>
      <c r="L14" s="21">
        <v>14.6</v>
      </c>
      <c r="M14" s="21">
        <v>15.8</v>
      </c>
      <c r="N14" s="21">
        <v>0</v>
      </c>
      <c r="O14" s="21">
        <v>3</v>
      </c>
      <c r="Q14" s="21" t="s">
        <v>388</v>
      </c>
      <c r="R14" s="21">
        <v>0.01</v>
      </c>
      <c r="S14" s="21">
        <v>0</v>
      </c>
      <c r="T14" s="21">
        <v>0</v>
      </c>
      <c r="U14" s="21">
        <v>0.1</v>
      </c>
      <c r="V14" s="21">
        <v>20</v>
      </c>
      <c r="W14" s="21">
        <v>115</v>
      </c>
      <c r="X14" s="21">
        <v>57.5</v>
      </c>
      <c r="Y14" s="21" t="s">
        <v>389</v>
      </c>
      <c r="Z14" s="21">
        <v>6</v>
      </c>
      <c r="AA14" s="21">
        <v>0</v>
      </c>
      <c r="AB14" s="21">
        <v>14.6</v>
      </c>
      <c r="AC14" s="21">
        <v>15.8</v>
      </c>
      <c r="AD14" s="21">
        <v>0</v>
      </c>
      <c r="AE14" s="21">
        <v>3</v>
      </c>
      <c r="AG14" s="21" t="s">
        <v>437</v>
      </c>
      <c r="AH14" s="21">
        <v>0.13</v>
      </c>
      <c r="AI14" s="21">
        <v>0</v>
      </c>
      <c r="AJ14" s="21">
        <v>0</v>
      </c>
      <c r="AK14" s="21">
        <v>0.25</v>
      </c>
      <c r="AL14" s="21">
        <v>1</v>
      </c>
      <c r="AM14" s="21">
        <v>1</v>
      </c>
      <c r="AN14" s="21">
        <v>90</v>
      </c>
      <c r="AO14" s="21" t="s">
        <v>438</v>
      </c>
      <c r="AP14" s="21" t="s">
        <v>366</v>
      </c>
      <c r="AQ14" s="21" t="s">
        <v>366</v>
      </c>
      <c r="AR14" s="21" t="s">
        <v>366</v>
      </c>
      <c r="AS14" s="21" t="s">
        <v>366</v>
      </c>
      <c r="AT14" s="21" t="s">
        <v>366</v>
      </c>
      <c r="AU14" s="21" t="s">
        <v>366</v>
      </c>
    </row>
    <row r="15" spans="1:47" x14ac:dyDescent="0.25">
      <c r="A15" s="21" t="s">
        <v>390</v>
      </c>
      <c r="B15" s="21" t="s">
        <v>366</v>
      </c>
      <c r="C15" s="21" t="s">
        <v>366</v>
      </c>
      <c r="D15" s="21" t="s">
        <v>366</v>
      </c>
      <c r="E15" s="21" t="s">
        <v>366</v>
      </c>
      <c r="F15" s="21" t="s">
        <v>366</v>
      </c>
      <c r="G15" s="21" t="s">
        <v>366</v>
      </c>
      <c r="H15" s="21">
        <v>60</v>
      </c>
      <c r="I15" s="21" t="s">
        <v>391</v>
      </c>
      <c r="J15" s="21">
        <v>11</v>
      </c>
      <c r="K15" s="21">
        <v>0</v>
      </c>
      <c r="L15" s="21">
        <v>16.100000000000001</v>
      </c>
      <c r="M15" s="21">
        <v>18.2</v>
      </c>
      <c r="N15" s="21">
        <v>0</v>
      </c>
      <c r="O15" s="21">
        <v>0</v>
      </c>
      <c r="Q15" s="21" t="s">
        <v>390</v>
      </c>
      <c r="R15" s="21" t="s">
        <v>366</v>
      </c>
      <c r="S15" s="21" t="s">
        <v>366</v>
      </c>
      <c r="T15" s="21" t="s">
        <v>366</v>
      </c>
      <c r="U15" s="21" t="s">
        <v>366</v>
      </c>
      <c r="V15" s="21" t="s">
        <v>366</v>
      </c>
      <c r="W15" s="21" t="s">
        <v>366</v>
      </c>
      <c r="X15" s="21">
        <v>60</v>
      </c>
      <c r="Y15" s="21" t="s">
        <v>391</v>
      </c>
      <c r="Z15" s="21">
        <v>11</v>
      </c>
      <c r="AA15" s="21">
        <v>0</v>
      </c>
      <c r="AB15" s="21">
        <v>16.100000000000001</v>
      </c>
      <c r="AC15" s="21">
        <v>18.2</v>
      </c>
      <c r="AD15" s="21">
        <v>0</v>
      </c>
      <c r="AE15" s="21">
        <v>0</v>
      </c>
      <c r="AG15" s="21" t="s">
        <v>439</v>
      </c>
      <c r="AH15" s="21">
        <v>0.2</v>
      </c>
      <c r="AI15" s="21">
        <v>0</v>
      </c>
      <c r="AJ15" s="21">
        <v>0</v>
      </c>
      <c r="AK15" s="21">
        <v>0.25</v>
      </c>
      <c r="AL15" s="21">
        <v>1</v>
      </c>
      <c r="AM15" s="21">
        <v>1</v>
      </c>
      <c r="AN15" s="21">
        <v>95</v>
      </c>
      <c r="AO15" s="21" t="s">
        <v>440</v>
      </c>
      <c r="AP15" s="21" t="s">
        <v>366</v>
      </c>
      <c r="AQ15" s="21" t="s">
        <v>366</v>
      </c>
      <c r="AR15" s="21" t="s">
        <v>366</v>
      </c>
      <c r="AS15" s="21" t="s">
        <v>366</v>
      </c>
      <c r="AT15" s="21" t="s">
        <v>366</v>
      </c>
      <c r="AU15" s="21" t="s">
        <v>366</v>
      </c>
    </row>
    <row r="16" spans="1:47" x14ac:dyDescent="0.25">
      <c r="A16" s="21" t="s">
        <v>392</v>
      </c>
      <c r="B16" s="21">
        <v>0.2</v>
      </c>
      <c r="C16" s="21">
        <v>0</v>
      </c>
      <c r="D16" s="21">
        <v>0</v>
      </c>
      <c r="E16" s="21">
        <v>0.1</v>
      </c>
      <c r="F16" s="21">
        <v>0</v>
      </c>
      <c r="G16" s="21">
        <v>6</v>
      </c>
      <c r="H16" s="21">
        <v>65</v>
      </c>
      <c r="I16" s="21" t="s">
        <v>393</v>
      </c>
      <c r="J16" s="21" t="s">
        <v>366</v>
      </c>
      <c r="K16" s="21" t="s">
        <v>366</v>
      </c>
      <c r="L16" s="21" t="s">
        <v>366</v>
      </c>
      <c r="M16" s="21" t="s">
        <v>366</v>
      </c>
      <c r="N16" s="21" t="s">
        <v>366</v>
      </c>
      <c r="O16" s="21" t="s">
        <v>366</v>
      </c>
      <c r="Q16" s="21" t="s">
        <v>392</v>
      </c>
      <c r="R16" s="21">
        <v>0.2</v>
      </c>
      <c r="S16" s="21">
        <v>0</v>
      </c>
      <c r="T16" s="21">
        <v>0</v>
      </c>
      <c r="U16" s="21">
        <v>0.1</v>
      </c>
      <c r="V16" s="21">
        <v>0</v>
      </c>
      <c r="W16" s="21">
        <v>6</v>
      </c>
      <c r="X16" s="21">
        <v>65</v>
      </c>
      <c r="Y16" s="21" t="s">
        <v>393</v>
      </c>
      <c r="Z16" s="21" t="s">
        <v>366</v>
      </c>
      <c r="AA16" s="21" t="s">
        <v>366</v>
      </c>
      <c r="AB16" s="21" t="s">
        <v>366</v>
      </c>
      <c r="AC16" s="21" t="s">
        <v>366</v>
      </c>
      <c r="AD16" s="21" t="s">
        <v>366</v>
      </c>
      <c r="AE16" s="21" t="s">
        <v>366</v>
      </c>
      <c r="AG16" s="21" t="s">
        <v>441</v>
      </c>
      <c r="AH16" s="21" t="s">
        <v>366</v>
      </c>
      <c r="AI16" s="21" t="s">
        <v>366</v>
      </c>
      <c r="AJ16" s="21" t="s">
        <v>366</v>
      </c>
      <c r="AK16" s="21" t="s">
        <v>366</v>
      </c>
      <c r="AL16" s="21" t="s">
        <v>366</v>
      </c>
      <c r="AM16" s="21" t="s">
        <v>366</v>
      </c>
      <c r="AN16" s="21">
        <v>65</v>
      </c>
      <c r="AO16" s="21" t="s">
        <v>442</v>
      </c>
      <c r="AP16" s="21">
        <v>0.15</v>
      </c>
      <c r="AQ16" s="21">
        <v>0</v>
      </c>
      <c r="AR16" s="21">
        <v>0.3</v>
      </c>
      <c r="AS16" s="21">
        <v>0.7</v>
      </c>
      <c r="AT16" s="21">
        <v>0</v>
      </c>
      <c r="AU16" s="21">
        <v>10</v>
      </c>
    </row>
    <row r="17" spans="1:47" x14ac:dyDescent="0.25">
      <c r="A17" s="21" t="s">
        <v>479</v>
      </c>
      <c r="B17" s="21" t="s">
        <v>366</v>
      </c>
      <c r="C17" s="21" t="s">
        <v>366</v>
      </c>
      <c r="D17" s="21" t="s">
        <v>366</v>
      </c>
      <c r="E17" s="21" t="s">
        <v>366</v>
      </c>
      <c r="F17" s="21" t="s">
        <v>366</v>
      </c>
      <c r="G17" s="21" t="s">
        <v>366</v>
      </c>
      <c r="H17" s="21">
        <v>37.5</v>
      </c>
      <c r="I17" s="21" t="s">
        <v>480</v>
      </c>
      <c r="J17" s="21">
        <v>0.2</v>
      </c>
      <c r="K17" s="21">
        <v>0</v>
      </c>
      <c r="L17" s="21">
        <v>0.15</v>
      </c>
      <c r="M17" s="21">
        <v>0.3</v>
      </c>
      <c r="N17" s="21">
        <v>40</v>
      </c>
      <c r="O17" s="21">
        <v>40</v>
      </c>
      <c r="Q17" s="21" t="s">
        <v>479</v>
      </c>
      <c r="R17" s="21" t="s">
        <v>366</v>
      </c>
      <c r="S17" s="21" t="s">
        <v>366</v>
      </c>
      <c r="T17" s="21" t="s">
        <v>366</v>
      </c>
      <c r="U17" s="21" t="s">
        <v>366</v>
      </c>
      <c r="V17" s="21" t="s">
        <v>366</v>
      </c>
      <c r="W17" s="21" t="s">
        <v>366</v>
      </c>
      <c r="X17" s="21">
        <v>37.5</v>
      </c>
      <c r="Y17" s="21" t="s">
        <v>480</v>
      </c>
      <c r="Z17" s="21">
        <v>0.2</v>
      </c>
      <c r="AA17" s="21">
        <v>0</v>
      </c>
      <c r="AB17" s="21">
        <v>0.15</v>
      </c>
      <c r="AC17" s="21">
        <v>0.3</v>
      </c>
      <c r="AD17" s="21">
        <v>40</v>
      </c>
      <c r="AE17" s="21">
        <v>40</v>
      </c>
      <c r="AG17" s="21" t="s">
        <v>443</v>
      </c>
      <c r="AH17" s="21" t="s">
        <v>366</v>
      </c>
      <c r="AI17" s="21" t="s">
        <v>366</v>
      </c>
      <c r="AJ17" s="21" t="s">
        <v>366</v>
      </c>
      <c r="AK17" s="21" t="s">
        <v>366</v>
      </c>
      <c r="AL17" s="21" t="s">
        <v>366</v>
      </c>
      <c r="AM17" s="21" t="s">
        <v>366</v>
      </c>
      <c r="AN17" s="21">
        <v>70</v>
      </c>
      <c r="AO17" s="21" t="s">
        <v>444</v>
      </c>
      <c r="AP17" s="21">
        <v>0.32</v>
      </c>
      <c r="AQ17" s="21">
        <v>0</v>
      </c>
      <c r="AR17" s="21">
        <v>0.75</v>
      </c>
      <c r="AS17" s="21">
        <v>1.35</v>
      </c>
      <c r="AT17" s="21">
        <v>1</v>
      </c>
      <c r="AU17" s="21">
        <v>1</v>
      </c>
    </row>
    <row r="18" spans="1:47" x14ac:dyDescent="0.25">
      <c r="A18" s="21" t="s">
        <v>481</v>
      </c>
      <c r="B18" s="21" t="s">
        <v>366</v>
      </c>
      <c r="C18" s="21" t="s">
        <v>366</v>
      </c>
      <c r="D18" s="21" t="s">
        <v>366</v>
      </c>
      <c r="E18" s="21" t="s">
        <v>366</v>
      </c>
      <c r="F18" s="21" t="s">
        <v>366</v>
      </c>
      <c r="G18" s="21" t="s">
        <v>366</v>
      </c>
      <c r="H18" s="21">
        <v>40</v>
      </c>
      <c r="I18" s="21" t="s">
        <v>482</v>
      </c>
      <c r="J18" s="21">
        <v>0.6</v>
      </c>
      <c r="K18" s="21">
        <v>0.38</v>
      </c>
      <c r="L18" s="21">
        <v>0.45</v>
      </c>
      <c r="M18" s="21">
        <v>0.55000000000000004</v>
      </c>
      <c r="N18" s="21">
        <v>10</v>
      </c>
      <c r="O18" s="21">
        <v>44</v>
      </c>
      <c r="Q18" s="21" t="s">
        <v>481</v>
      </c>
      <c r="R18" s="21" t="s">
        <v>366</v>
      </c>
      <c r="S18" s="21" t="s">
        <v>366</v>
      </c>
      <c r="T18" s="21" t="s">
        <v>366</v>
      </c>
      <c r="U18" s="21" t="s">
        <v>366</v>
      </c>
      <c r="V18" s="21" t="s">
        <v>366</v>
      </c>
      <c r="W18" s="21" t="s">
        <v>366</v>
      </c>
      <c r="X18" s="21">
        <v>40</v>
      </c>
      <c r="Y18" s="21" t="s">
        <v>482</v>
      </c>
      <c r="Z18" s="21">
        <v>0.6</v>
      </c>
      <c r="AA18" s="21">
        <v>0.38</v>
      </c>
      <c r="AB18" s="21">
        <v>0.45</v>
      </c>
      <c r="AC18" s="21">
        <v>0.55000000000000004</v>
      </c>
      <c r="AD18" s="21">
        <v>10</v>
      </c>
      <c r="AE18" s="21">
        <v>44</v>
      </c>
      <c r="AG18" s="21" t="s">
        <v>445</v>
      </c>
      <c r="AH18" s="21" t="s">
        <v>366</v>
      </c>
      <c r="AI18" s="21" t="s">
        <v>366</v>
      </c>
      <c r="AJ18" s="21" t="s">
        <v>366</v>
      </c>
      <c r="AK18" s="21" t="s">
        <v>366</v>
      </c>
      <c r="AL18" s="21" t="s">
        <v>366</v>
      </c>
      <c r="AM18" s="21" t="s">
        <v>366</v>
      </c>
      <c r="AN18" s="21">
        <v>75</v>
      </c>
      <c r="AO18" s="21" t="s">
        <v>446</v>
      </c>
      <c r="AP18" s="21">
        <v>2.2999999999999998</v>
      </c>
      <c r="AQ18" s="21">
        <v>0.2</v>
      </c>
      <c r="AR18" s="21">
        <v>2</v>
      </c>
      <c r="AS18" s="21">
        <v>2.25</v>
      </c>
      <c r="AT18" s="21">
        <v>37</v>
      </c>
      <c r="AU18" s="21">
        <v>773</v>
      </c>
    </row>
    <row r="19" spans="1:47" x14ac:dyDescent="0.25">
      <c r="A19" s="21" t="s">
        <v>483</v>
      </c>
      <c r="B19" s="21">
        <v>1.05</v>
      </c>
      <c r="C19" s="21">
        <v>-0.65</v>
      </c>
      <c r="D19" s="21">
        <v>1</v>
      </c>
      <c r="E19" s="21">
        <v>1.25</v>
      </c>
      <c r="F19" s="21">
        <v>319</v>
      </c>
      <c r="G19" s="21">
        <v>108</v>
      </c>
      <c r="H19" s="21">
        <v>42.5</v>
      </c>
      <c r="I19" s="21" t="s">
        <v>484</v>
      </c>
      <c r="J19" s="21">
        <v>1.05</v>
      </c>
      <c r="K19" s="21">
        <v>0</v>
      </c>
      <c r="L19" s="21">
        <v>1.25</v>
      </c>
      <c r="M19" s="21">
        <v>1.5</v>
      </c>
      <c r="N19" s="21">
        <v>34</v>
      </c>
      <c r="O19" s="21">
        <v>61</v>
      </c>
      <c r="Q19" s="21" t="s">
        <v>483</v>
      </c>
      <c r="R19" s="21">
        <v>1.05</v>
      </c>
      <c r="S19" s="21">
        <v>-0.65</v>
      </c>
      <c r="T19" s="21">
        <v>1</v>
      </c>
      <c r="U19" s="21">
        <v>1.25</v>
      </c>
      <c r="V19" s="21">
        <v>319</v>
      </c>
      <c r="W19" s="21">
        <v>108</v>
      </c>
      <c r="X19" s="21">
        <v>42.5</v>
      </c>
      <c r="Y19" s="21" t="s">
        <v>484</v>
      </c>
      <c r="Z19" s="21">
        <v>1.05</v>
      </c>
      <c r="AA19" s="21">
        <v>0</v>
      </c>
      <c r="AB19" s="21">
        <v>1.25</v>
      </c>
      <c r="AC19" s="21">
        <v>1.5</v>
      </c>
      <c r="AD19" s="21">
        <v>34</v>
      </c>
      <c r="AE19" s="21">
        <v>61</v>
      </c>
      <c r="AG19" s="21" t="s">
        <v>447</v>
      </c>
      <c r="AH19" s="21">
        <v>2.2000000000000002</v>
      </c>
      <c r="AI19" s="21">
        <v>0</v>
      </c>
      <c r="AJ19" s="21">
        <v>1.4</v>
      </c>
      <c r="AK19" s="21">
        <v>1.95</v>
      </c>
      <c r="AL19" s="21">
        <v>6</v>
      </c>
      <c r="AM19" s="21">
        <v>7</v>
      </c>
      <c r="AN19" s="21">
        <v>80</v>
      </c>
      <c r="AO19" s="21" t="s">
        <v>448</v>
      </c>
      <c r="AP19" s="21">
        <v>5.15</v>
      </c>
      <c r="AQ19" s="21">
        <v>1.45</v>
      </c>
      <c r="AR19" s="21">
        <v>4.4000000000000004</v>
      </c>
      <c r="AS19" s="21">
        <v>5.0999999999999996</v>
      </c>
      <c r="AT19" s="21">
        <v>56</v>
      </c>
      <c r="AU19" s="21">
        <v>47</v>
      </c>
    </row>
    <row r="20" spans="1:47" x14ac:dyDescent="0.25">
      <c r="A20" s="21" t="s">
        <v>485</v>
      </c>
      <c r="B20" s="21">
        <v>0.31</v>
      </c>
      <c r="C20" s="21">
        <v>-0.09</v>
      </c>
      <c r="D20" s="21">
        <v>0.2</v>
      </c>
      <c r="E20" s="21">
        <v>0.35</v>
      </c>
      <c r="F20" s="21">
        <v>771</v>
      </c>
      <c r="G20" s="21">
        <v>568</v>
      </c>
      <c r="H20" s="21">
        <v>45</v>
      </c>
      <c r="I20" s="21" t="s">
        <v>486</v>
      </c>
      <c r="J20" s="21">
        <v>3.14</v>
      </c>
      <c r="K20" s="21">
        <v>1.39</v>
      </c>
      <c r="L20" s="21">
        <v>2.85</v>
      </c>
      <c r="M20" s="21">
        <v>3.4</v>
      </c>
      <c r="N20" s="21">
        <v>40</v>
      </c>
      <c r="O20" s="21">
        <v>254</v>
      </c>
      <c r="Q20" s="21" t="s">
        <v>485</v>
      </c>
      <c r="R20" s="21">
        <v>0.31</v>
      </c>
      <c r="S20" s="21">
        <v>-0.09</v>
      </c>
      <c r="T20" s="21">
        <v>0.2</v>
      </c>
      <c r="U20" s="21">
        <v>0.35</v>
      </c>
      <c r="V20" s="21">
        <v>771</v>
      </c>
      <c r="W20" s="21">
        <v>568</v>
      </c>
      <c r="X20" s="21">
        <v>45</v>
      </c>
      <c r="Y20" s="21" t="s">
        <v>486</v>
      </c>
      <c r="Z20" s="21">
        <v>3.14</v>
      </c>
      <c r="AA20" s="21">
        <v>1.39</v>
      </c>
      <c r="AB20" s="21">
        <v>2.85</v>
      </c>
      <c r="AC20" s="21">
        <v>3.4</v>
      </c>
      <c r="AD20" s="21">
        <v>40</v>
      </c>
      <c r="AE20" s="21">
        <v>254</v>
      </c>
      <c r="AG20" s="21" t="s">
        <v>449</v>
      </c>
      <c r="AH20" s="21">
        <v>0.45</v>
      </c>
      <c r="AI20" s="21">
        <v>0</v>
      </c>
      <c r="AJ20" s="21">
        <v>0.25</v>
      </c>
      <c r="AK20" s="21">
        <v>0.8</v>
      </c>
      <c r="AL20" s="21">
        <v>1</v>
      </c>
      <c r="AM20" s="21">
        <v>89</v>
      </c>
      <c r="AN20" s="21">
        <v>85</v>
      </c>
      <c r="AO20" s="21" t="s">
        <v>450</v>
      </c>
      <c r="AP20" s="21">
        <v>6.4</v>
      </c>
      <c r="AQ20" s="21">
        <v>0</v>
      </c>
      <c r="AR20" s="21">
        <v>8.1</v>
      </c>
      <c r="AS20" s="21">
        <v>9.4</v>
      </c>
      <c r="AT20" s="21">
        <v>2</v>
      </c>
      <c r="AU20" s="21">
        <v>196</v>
      </c>
    </row>
    <row r="21" spans="1:47" x14ac:dyDescent="0.25">
      <c r="A21" s="21" t="s">
        <v>487</v>
      </c>
      <c r="B21" s="21">
        <v>0.15</v>
      </c>
      <c r="C21" s="21">
        <v>0</v>
      </c>
      <c r="D21" s="21">
        <v>0.05</v>
      </c>
      <c r="E21" s="21">
        <v>0.15</v>
      </c>
      <c r="F21" s="21">
        <v>2</v>
      </c>
      <c r="G21" s="21">
        <v>263</v>
      </c>
      <c r="H21" s="21">
        <v>47.5</v>
      </c>
      <c r="I21" s="21" t="s">
        <v>488</v>
      </c>
      <c r="J21" s="21">
        <v>4.8499999999999996</v>
      </c>
      <c r="K21" s="21">
        <v>0.55000000000000004</v>
      </c>
      <c r="L21" s="21">
        <v>5.0999999999999996</v>
      </c>
      <c r="M21" s="21">
        <v>5.7</v>
      </c>
      <c r="N21" s="21">
        <v>3</v>
      </c>
      <c r="O21" s="21">
        <v>337</v>
      </c>
      <c r="Q21" s="21" t="s">
        <v>487</v>
      </c>
      <c r="R21" s="21">
        <v>0.15</v>
      </c>
      <c r="S21" s="21">
        <v>0</v>
      </c>
      <c r="T21" s="21">
        <v>0.05</v>
      </c>
      <c r="U21" s="21">
        <v>0.15</v>
      </c>
      <c r="V21" s="21">
        <v>2</v>
      </c>
      <c r="W21" s="21">
        <v>263</v>
      </c>
      <c r="X21" s="21">
        <v>47.5</v>
      </c>
      <c r="Y21" s="21" t="s">
        <v>488</v>
      </c>
      <c r="Z21" s="21">
        <v>4.8499999999999996</v>
      </c>
      <c r="AA21" s="21">
        <v>0.55000000000000004</v>
      </c>
      <c r="AB21" s="21">
        <v>5.0999999999999996</v>
      </c>
      <c r="AC21" s="21">
        <v>5.7</v>
      </c>
      <c r="AD21" s="21">
        <v>3</v>
      </c>
      <c r="AE21" s="21">
        <v>337</v>
      </c>
      <c r="AG21" s="21" t="s">
        <v>451</v>
      </c>
      <c r="AH21" s="21">
        <v>0.25</v>
      </c>
      <c r="AI21" s="21">
        <v>0</v>
      </c>
      <c r="AJ21" s="21">
        <v>0</v>
      </c>
      <c r="AK21" s="21">
        <v>0.35</v>
      </c>
      <c r="AL21" s="21">
        <v>100</v>
      </c>
      <c r="AM21" s="21">
        <v>123</v>
      </c>
      <c r="AN21" s="21">
        <v>90</v>
      </c>
      <c r="AO21" s="21" t="s">
        <v>452</v>
      </c>
      <c r="AP21" s="21">
        <v>13.65</v>
      </c>
      <c r="AQ21" s="21">
        <v>1.65</v>
      </c>
      <c r="AR21" s="21">
        <v>12.5</v>
      </c>
      <c r="AS21" s="21">
        <v>14.1</v>
      </c>
      <c r="AT21" s="21">
        <v>50</v>
      </c>
      <c r="AU21" s="21">
        <v>679</v>
      </c>
    </row>
    <row r="22" spans="1:47" x14ac:dyDescent="0.25">
      <c r="A22" s="21" t="s">
        <v>489</v>
      </c>
      <c r="B22" s="21">
        <v>0.02</v>
      </c>
      <c r="C22" s="21">
        <v>-0.08</v>
      </c>
      <c r="D22" s="21">
        <v>0</v>
      </c>
      <c r="E22" s="21">
        <v>0.15</v>
      </c>
      <c r="F22" s="21">
        <v>18</v>
      </c>
      <c r="G22" s="21">
        <v>1194</v>
      </c>
      <c r="H22" s="21">
        <v>50</v>
      </c>
      <c r="I22" s="21" t="s">
        <v>490</v>
      </c>
      <c r="J22" s="21">
        <v>6.49</v>
      </c>
      <c r="K22" s="21">
        <v>0</v>
      </c>
      <c r="L22" s="21">
        <v>7.1</v>
      </c>
      <c r="M22" s="21">
        <v>8.1999999999999993</v>
      </c>
      <c r="N22" s="21">
        <v>7</v>
      </c>
      <c r="O22" s="21">
        <v>7</v>
      </c>
      <c r="Q22" s="21" t="s">
        <v>489</v>
      </c>
      <c r="R22" s="21">
        <v>0.02</v>
      </c>
      <c r="S22" s="21">
        <v>-0.08</v>
      </c>
      <c r="T22" s="21">
        <v>0</v>
      </c>
      <c r="U22" s="21">
        <v>0.15</v>
      </c>
      <c r="V22" s="21">
        <v>18</v>
      </c>
      <c r="W22" s="21">
        <v>1194</v>
      </c>
      <c r="X22" s="21">
        <v>50</v>
      </c>
      <c r="Y22" s="21" t="s">
        <v>490</v>
      </c>
      <c r="Z22" s="21">
        <v>6.49</v>
      </c>
      <c r="AA22" s="21">
        <v>0</v>
      </c>
      <c r="AB22" s="21">
        <v>7.1</v>
      </c>
      <c r="AC22" s="21">
        <v>8.1999999999999993</v>
      </c>
      <c r="AD22" s="21">
        <v>7</v>
      </c>
      <c r="AE22" s="21">
        <v>7</v>
      </c>
      <c r="AG22" s="21" t="s">
        <v>453</v>
      </c>
      <c r="AH22" s="21">
        <v>0.25</v>
      </c>
      <c r="AI22" s="21">
        <v>0</v>
      </c>
      <c r="AJ22" s="21">
        <v>0.05</v>
      </c>
      <c r="AK22" s="21">
        <v>0.25</v>
      </c>
      <c r="AL22" s="21">
        <v>3</v>
      </c>
      <c r="AM22" s="21">
        <v>103</v>
      </c>
      <c r="AN22" s="21">
        <v>95</v>
      </c>
      <c r="AO22" s="21" t="s">
        <v>454</v>
      </c>
      <c r="AP22" s="21">
        <v>3.5</v>
      </c>
      <c r="AQ22" s="21">
        <v>0</v>
      </c>
      <c r="AR22" s="21">
        <v>16.3</v>
      </c>
      <c r="AS22" s="21">
        <v>19.600000000000001</v>
      </c>
      <c r="AT22" s="21">
        <v>0</v>
      </c>
      <c r="AU22" s="21">
        <v>58</v>
      </c>
    </row>
    <row r="23" spans="1:47" x14ac:dyDescent="0.25">
      <c r="A23" s="21" t="s">
        <v>491</v>
      </c>
      <c r="B23" s="21" t="s">
        <v>366</v>
      </c>
      <c r="C23" s="21" t="s">
        <v>366</v>
      </c>
      <c r="D23" s="21" t="s">
        <v>366</v>
      </c>
      <c r="E23" s="21" t="s">
        <v>366</v>
      </c>
      <c r="F23" s="21" t="s">
        <v>366</v>
      </c>
      <c r="G23" s="21" t="s">
        <v>366</v>
      </c>
      <c r="H23" s="21">
        <v>35</v>
      </c>
      <c r="I23" s="21" t="s">
        <v>492</v>
      </c>
      <c r="J23" s="21">
        <v>0.27</v>
      </c>
      <c r="K23" s="21">
        <v>0</v>
      </c>
      <c r="L23" s="21">
        <v>0.25</v>
      </c>
      <c r="M23" s="21">
        <v>0.45</v>
      </c>
      <c r="N23" s="21">
        <v>2</v>
      </c>
      <c r="O23" s="21">
        <v>4</v>
      </c>
      <c r="Q23" s="21" t="s">
        <v>491</v>
      </c>
      <c r="R23" s="21" t="s">
        <v>366</v>
      </c>
      <c r="S23" s="21" t="s">
        <v>366</v>
      </c>
      <c r="T23" s="21" t="s">
        <v>366</v>
      </c>
      <c r="U23" s="21" t="s">
        <v>366</v>
      </c>
      <c r="V23" s="21" t="s">
        <v>366</v>
      </c>
      <c r="W23" s="21" t="s">
        <v>366</v>
      </c>
      <c r="X23" s="21">
        <v>35</v>
      </c>
      <c r="Y23" s="21" t="s">
        <v>492</v>
      </c>
      <c r="Z23" s="21">
        <v>0.27</v>
      </c>
      <c r="AA23" s="21">
        <v>0</v>
      </c>
      <c r="AB23" s="21">
        <v>0.25</v>
      </c>
      <c r="AC23" s="21">
        <v>0.45</v>
      </c>
      <c r="AD23" s="21">
        <v>2</v>
      </c>
      <c r="AE23" s="21">
        <v>4</v>
      </c>
      <c r="AG23" s="21" t="s">
        <v>455</v>
      </c>
      <c r="AH23" s="21">
        <v>0.25</v>
      </c>
      <c r="AI23" s="21">
        <v>0</v>
      </c>
      <c r="AJ23" s="21">
        <v>0</v>
      </c>
      <c r="AK23" s="21">
        <v>0.25</v>
      </c>
      <c r="AL23" s="21">
        <v>4</v>
      </c>
      <c r="AM23" s="21">
        <v>24</v>
      </c>
      <c r="AN23" s="21">
        <v>100</v>
      </c>
      <c r="AO23" s="21" t="s">
        <v>456</v>
      </c>
      <c r="AP23" s="21">
        <v>7.6</v>
      </c>
      <c r="AQ23" s="21">
        <v>0</v>
      </c>
      <c r="AR23" s="21">
        <v>21.3</v>
      </c>
      <c r="AS23" s="21">
        <v>24.8</v>
      </c>
      <c r="AT23" s="21">
        <v>0</v>
      </c>
      <c r="AU23" s="21">
        <v>10</v>
      </c>
    </row>
    <row r="24" spans="1:47" x14ac:dyDescent="0.25">
      <c r="A24" s="21" t="s">
        <v>493</v>
      </c>
      <c r="B24" s="21" t="s">
        <v>366</v>
      </c>
      <c r="C24" s="21" t="s">
        <v>366</v>
      </c>
      <c r="D24" s="21" t="s">
        <v>366</v>
      </c>
      <c r="E24" s="21" t="s">
        <v>366</v>
      </c>
      <c r="F24" s="21" t="s">
        <v>366</v>
      </c>
      <c r="G24" s="21" t="s">
        <v>366</v>
      </c>
      <c r="H24" s="21">
        <v>37.5</v>
      </c>
      <c r="I24" s="21" t="s">
        <v>494</v>
      </c>
      <c r="J24" s="21">
        <v>0.5</v>
      </c>
      <c r="K24" s="21">
        <v>0</v>
      </c>
      <c r="L24" s="21">
        <v>0.45</v>
      </c>
      <c r="M24" s="21">
        <v>0.7</v>
      </c>
      <c r="N24" s="21">
        <v>21</v>
      </c>
      <c r="O24" s="21">
        <v>1031</v>
      </c>
      <c r="Q24" s="21" t="s">
        <v>493</v>
      </c>
      <c r="R24" s="21" t="s">
        <v>366</v>
      </c>
      <c r="S24" s="21" t="s">
        <v>366</v>
      </c>
      <c r="T24" s="21" t="s">
        <v>366</v>
      </c>
      <c r="U24" s="21" t="s">
        <v>366</v>
      </c>
      <c r="V24" s="21" t="s">
        <v>366</v>
      </c>
      <c r="W24" s="21" t="s">
        <v>366</v>
      </c>
      <c r="X24" s="21">
        <v>37.5</v>
      </c>
      <c r="Y24" s="21" t="s">
        <v>494</v>
      </c>
      <c r="Z24" s="21">
        <v>0.5</v>
      </c>
      <c r="AA24" s="21">
        <v>0</v>
      </c>
      <c r="AB24" s="21">
        <v>0.45</v>
      </c>
      <c r="AC24" s="21">
        <v>0.7</v>
      </c>
      <c r="AD24" s="21">
        <v>21</v>
      </c>
      <c r="AE24" s="21">
        <v>1031</v>
      </c>
      <c r="AG24" s="21" t="s">
        <v>457</v>
      </c>
      <c r="AH24" s="21">
        <v>0.1</v>
      </c>
      <c r="AI24" s="21">
        <v>0</v>
      </c>
      <c r="AJ24" s="21">
        <v>0</v>
      </c>
      <c r="AK24" s="21">
        <v>0.25</v>
      </c>
      <c r="AL24" s="21">
        <v>0</v>
      </c>
      <c r="AM24" s="21">
        <v>100</v>
      </c>
      <c r="AN24" s="21">
        <v>110</v>
      </c>
      <c r="AO24" s="21" t="s">
        <v>458</v>
      </c>
      <c r="AP24" s="21" t="s">
        <v>366</v>
      </c>
      <c r="AQ24" s="21" t="s">
        <v>366</v>
      </c>
      <c r="AR24" s="21" t="s">
        <v>366</v>
      </c>
      <c r="AS24" s="21" t="s">
        <v>366</v>
      </c>
      <c r="AT24" s="21" t="s">
        <v>366</v>
      </c>
      <c r="AU24" s="21" t="s">
        <v>366</v>
      </c>
    </row>
    <row r="25" spans="1:47" x14ac:dyDescent="0.25">
      <c r="A25" s="21" t="s">
        <v>394</v>
      </c>
      <c r="B25" s="21">
        <v>4.5</v>
      </c>
      <c r="C25" s="21">
        <v>0</v>
      </c>
      <c r="D25" s="21">
        <v>3</v>
      </c>
      <c r="E25" s="21">
        <v>3.9</v>
      </c>
      <c r="F25" s="21">
        <v>1</v>
      </c>
      <c r="G25" s="21">
        <v>151</v>
      </c>
      <c r="H25" s="21">
        <v>40</v>
      </c>
      <c r="I25" s="21" t="s">
        <v>395</v>
      </c>
      <c r="J25" s="21">
        <v>1.1499999999999999</v>
      </c>
      <c r="K25" s="21">
        <v>0.39</v>
      </c>
      <c r="L25" s="21">
        <v>1.1000000000000001</v>
      </c>
      <c r="M25" s="21">
        <v>1.25</v>
      </c>
      <c r="N25" s="21">
        <v>23</v>
      </c>
      <c r="O25" s="21">
        <v>787</v>
      </c>
      <c r="Q25" s="21" t="s">
        <v>394</v>
      </c>
      <c r="R25" s="21">
        <v>4.5</v>
      </c>
      <c r="S25" s="21">
        <v>0</v>
      </c>
      <c r="T25" s="21">
        <v>3</v>
      </c>
      <c r="U25" s="21">
        <v>3.9</v>
      </c>
      <c r="V25" s="21">
        <v>1</v>
      </c>
      <c r="W25" s="21">
        <v>151</v>
      </c>
      <c r="X25" s="21">
        <v>40</v>
      </c>
      <c r="Y25" s="21" t="s">
        <v>395</v>
      </c>
      <c r="Z25" s="21">
        <v>1.1499999999999999</v>
      </c>
      <c r="AA25" s="21">
        <v>0.39</v>
      </c>
      <c r="AB25" s="21">
        <v>1.1000000000000001</v>
      </c>
      <c r="AC25" s="21">
        <v>1.25</v>
      </c>
      <c r="AD25" s="21">
        <v>23</v>
      </c>
      <c r="AE25" s="21">
        <v>787</v>
      </c>
      <c r="AG25" s="21" t="s">
        <v>459</v>
      </c>
      <c r="AH25" s="21">
        <v>0.3</v>
      </c>
      <c r="AI25" s="21">
        <v>0</v>
      </c>
      <c r="AJ25" s="21">
        <v>0</v>
      </c>
      <c r="AK25" s="21">
        <v>0.25</v>
      </c>
      <c r="AL25" s="21">
        <v>1</v>
      </c>
      <c r="AM25" s="21">
        <v>1</v>
      </c>
      <c r="AN25" s="21">
        <v>115</v>
      </c>
      <c r="AO25" s="21" t="s">
        <v>460</v>
      </c>
      <c r="AP25" s="21" t="s">
        <v>366</v>
      </c>
      <c r="AQ25" s="21" t="s">
        <v>366</v>
      </c>
      <c r="AR25" s="21" t="s">
        <v>366</v>
      </c>
      <c r="AS25" s="21" t="s">
        <v>366</v>
      </c>
      <c r="AT25" s="21" t="s">
        <v>366</v>
      </c>
      <c r="AU25" s="21" t="s">
        <v>366</v>
      </c>
    </row>
    <row r="26" spans="1:47" x14ac:dyDescent="0.25">
      <c r="A26" s="21" t="s">
        <v>396</v>
      </c>
      <c r="B26" s="21">
        <v>1.85</v>
      </c>
      <c r="C26" s="21">
        <v>-0.25</v>
      </c>
      <c r="D26" s="21">
        <v>1.55</v>
      </c>
      <c r="E26" s="21">
        <v>1.8</v>
      </c>
      <c r="F26" s="21">
        <v>5</v>
      </c>
      <c r="G26" s="21">
        <v>91</v>
      </c>
      <c r="H26" s="21">
        <v>42.5</v>
      </c>
      <c r="I26" s="21" t="s">
        <v>397</v>
      </c>
      <c r="J26" s="21">
        <v>2.2999999999999998</v>
      </c>
      <c r="K26" s="21">
        <v>0.7</v>
      </c>
      <c r="L26" s="21">
        <v>2.1</v>
      </c>
      <c r="M26" s="21">
        <v>2.4</v>
      </c>
      <c r="N26" s="21">
        <v>11</v>
      </c>
      <c r="O26" s="21">
        <v>1645</v>
      </c>
      <c r="Q26" s="21" t="s">
        <v>396</v>
      </c>
      <c r="R26" s="21">
        <v>1.85</v>
      </c>
      <c r="S26" s="21">
        <v>-0.25</v>
      </c>
      <c r="T26" s="21">
        <v>1.55</v>
      </c>
      <c r="U26" s="21">
        <v>1.8</v>
      </c>
      <c r="V26" s="21">
        <v>5</v>
      </c>
      <c r="W26" s="21">
        <v>91</v>
      </c>
      <c r="X26" s="21">
        <v>42.5</v>
      </c>
      <c r="Y26" s="21" t="s">
        <v>397</v>
      </c>
      <c r="Z26" s="21">
        <v>2.2999999999999998</v>
      </c>
      <c r="AA26" s="21">
        <v>0.7</v>
      </c>
      <c r="AB26" s="21">
        <v>2.1</v>
      </c>
      <c r="AC26" s="21">
        <v>2.4</v>
      </c>
      <c r="AD26" s="21">
        <v>11</v>
      </c>
      <c r="AE26" s="21">
        <v>1645</v>
      </c>
      <c r="AG26" s="21" t="s">
        <v>461</v>
      </c>
      <c r="AH26" s="21" t="s">
        <v>366</v>
      </c>
      <c r="AI26" s="21" t="s">
        <v>366</v>
      </c>
      <c r="AJ26" s="21" t="s">
        <v>366</v>
      </c>
      <c r="AK26" s="21" t="s">
        <v>366</v>
      </c>
      <c r="AL26" s="21" t="s">
        <v>366</v>
      </c>
      <c r="AM26" s="21" t="s">
        <v>366</v>
      </c>
      <c r="AN26" s="21">
        <v>60</v>
      </c>
      <c r="AO26" s="21" t="s">
        <v>462</v>
      </c>
      <c r="AP26" s="21">
        <v>0.5</v>
      </c>
      <c r="AQ26" s="21">
        <v>0</v>
      </c>
      <c r="AR26" s="21">
        <v>0.55000000000000004</v>
      </c>
      <c r="AS26" s="21">
        <v>0.9</v>
      </c>
      <c r="AT26" s="21">
        <v>11</v>
      </c>
      <c r="AU26" s="21">
        <v>34</v>
      </c>
    </row>
    <row r="27" spans="1:47" x14ac:dyDescent="0.25">
      <c r="A27" s="21" t="s">
        <v>398</v>
      </c>
      <c r="B27" s="21">
        <v>0.75</v>
      </c>
      <c r="C27" s="21">
        <v>-0.2</v>
      </c>
      <c r="D27" s="21">
        <v>0.7</v>
      </c>
      <c r="E27" s="21">
        <v>0.8</v>
      </c>
      <c r="F27" s="21">
        <v>3</v>
      </c>
      <c r="G27" s="21">
        <v>461</v>
      </c>
      <c r="H27" s="21">
        <v>45</v>
      </c>
      <c r="I27" s="21" t="s">
        <v>399</v>
      </c>
      <c r="J27" s="21">
        <v>2.92</v>
      </c>
      <c r="K27" s="21">
        <v>0</v>
      </c>
      <c r="L27" s="21">
        <v>3.2</v>
      </c>
      <c r="M27" s="21">
        <v>4.0999999999999996</v>
      </c>
      <c r="N27" s="21">
        <v>92</v>
      </c>
      <c r="O27" s="21">
        <v>1342</v>
      </c>
      <c r="Q27" s="21" t="s">
        <v>398</v>
      </c>
      <c r="R27" s="21">
        <v>0.75</v>
      </c>
      <c r="S27" s="21">
        <v>-0.2</v>
      </c>
      <c r="T27" s="21">
        <v>0.7</v>
      </c>
      <c r="U27" s="21">
        <v>0.8</v>
      </c>
      <c r="V27" s="21">
        <v>3</v>
      </c>
      <c r="W27" s="21">
        <v>461</v>
      </c>
      <c r="X27" s="21">
        <v>45</v>
      </c>
      <c r="Y27" s="21" t="s">
        <v>399</v>
      </c>
      <c r="Z27" s="21">
        <v>2.92</v>
      </c>
      <c r="AA27" s="21">
        <v>0</v>
      </c>
      <c r="AB27" s="21">
        <v>3.2</v>
      </c>
      <c r="AC27" s="21">
        <v>4.0999999999999996</v>
      </c>
      <c r="AD27" s="21">
        <v>92</v>
      </c>
      <c r="AE27" s="21">
        <v>1342</v>
      </c>
      <c r="AG27" s="21" t="s">
        <v>463</v>
      </c>
      <c r="AH27" s="21">
        <v>22.5</v>
      </c>
      <c r="AI27" s="21">
        <v>0</v>
      </c>
      <c r="AJ27" s="21">
        <v>11.9</v>
      </c>
      <c r="AK27" s="21">
        <v>13.9</v>
      </c>
      <c r="AL27" s="21">
        <v>4</v>
      </c>
      <c r="AM27" s="21">
        <v>0</v>
      </c>
      <c r="AN27" s="21">
        <v>65</v>
      </c>
      <c r="AO27" s="21" t="s">
        <v>464</v>
      </c>
      <c r="AP27" s="21">
        <v>1</v>
      </c>
      <c r="AQ27" s="21">
        <v>0</v>
      </c>
      <c r="AR27" s="21">
        <v>0.9</v>
      </c>
      <c r="AS27" s="21">
        <v>1.5</v>
      </c>
      <c r="AT27" s="21">
        <v>5</v>
      </c>
      <c r="AU27" s="21">
        <v>100</v>
      </c>
    </row>
    <row r="28" spans="1:47" x14ac:dyDescent="0.25">
      <c r="A28" s="21" t="s">
        <v>400</v>
      </c>
      <c r="B28" s="21">
        <v>0.25</v>
      </c>
      <c r="C28" s="21">
        <v>-0.18</v>
      </c>
      <c r="D28" s="21">
        <v>0.25</v>
      </c>
      <c r="E28" s="21">
        <v>0.3</v>
      </c>
      <c r="F28" s="21">
        <v>8</v>
      </c>
      <c r="G28" s="21">
        <v>734</v>
      </c>
      <c r="H28" s="21">
        <v>47.5</v>
      </c>
      <c r="I28" s="21" t="s">
        <v>401</v>
      </c>
      <c r="J28" s="21">
        <v>4.3</v>
      </c>
      <c r="K28" s="21">
        <v>0</v>
      </c>
      <c r="L28" s="21">
        <v>5.5</v>
      </c>
      <c r="M28" s="21">
        <v>6</v>
      </c>
      <c r="N28" s="21">
        <v>12</v>
      </c>
      <c r="O28" s="21">
        <v>716</v>
      </c>
      <c r="Q28" s="21" t="s">
        <v>400</v>
      </c>
      <c r="R28" s="21">
        <v>0.25</v>
      </c>
      <c r="S28" s="21">
        <v>-0.18</v>
      </c>
      <c r="T28" s="21">
        <v>0.25</v>
      </c>
      <c r="U28" s="21">
        <v>0.3</v>
      </c>
      <c r="V28" s="21">
        <v>8</v>
      </c>
      <c r="W28" s="21">
        <v>734</v>
      </c>
      <c r="X28" s="21">
        <v>47.5</v>
      </c>
      <c r="Y28" s="21" t="s">
        <v>401</v>
      </c>
      <c r="Z28" s="21">
        <v>4.3</v>
      </c>
      <c r="AA28" s="21">
        <v>0</v>
      </c>
      <c r="AB28" s="21">
        <v>5.5</v>
      </c>
      <c r="AC28" s="21">
        <v>6</v>
      </c>
      <c r="AD28" s="21">
        <v>12</v>
      </c>
      <c r="AE28" s="21">
        <v>716</v>
      </c>
      <c r="AG28" s="21" t="s">
        <v>465</v>
      </c>
      <c r="AH28" s="21">
        <v>12</v>
      </c>
      <c r="AI28" s="21">
        <v>0</v>
      </c>
      <c r="AJ28" s="21">
        <v>7.8</v>
      </c>
      <c r="AK28" s="21">
        <v>9.5</v>
      </c>
      <c r="AL28" s="21">
        <v>10</v>
      </c>
      <c r="AM28" s="21">
        <v>10</v>
      </c>
      <c r="AN28" s="21">
        <v>70</v>
      </c>
      <c r="AO28" s="21" t="s">
        <v>466</v>
      </c>
      <c r="AP28" s="21">
        <v>2</v>
      </c>
      <c r="AQ28" s="21">
        <v>0</v>
      </c>
      <c r="AR28" s="21">
        <v>1.75</v>
      </c>
      <c r="AS28" s="21">
        <v>2.4500000000000002</v>
      </c>
      <c r="AT28" s="21">
        <v>2</v>
      </c>
      <c r="AU28" s="21">
        <v>8</v>
      </c>
    </row>
    <row r="29" spans="1:47" x14ac:dyDescent="0.25">
      <c r="A29" s="21" t="s">
        <v>402</v>
      </c>
      <c r="B29" s="21">
        <v>0.1</v>
      </c>
      <c r="C29" s="21">
        <v>-0.05</v>
      </c>
      <c r="D29" s="21">
        <v>0.1</v>
      </c>
      <c r="E29" s="21">
        <v>0.15</v>
      </c>
      <c r="F29" s="21">
        <v>76</v>
      </c>
      <c r="G29" s="21">
        <v>1736</v>
      </c>
      <c r="H29" s="21">
        <v>50</v>
      </c>
      <c r="I29" s="21" t="s">
        <v>403</v>
      </c>
      <c r="J29" s="21">
        <v>6.1</v>
      </c>
      <c r="K29" s="21">
        <v>0</v>
      </c>
      <c r="L29" s="21">
        <v>7.8</v>
      </c>
      <c r="M29" s="21">
        <v>8.6</v>
      </c>
      <c r="N29" s="21">
        <v>5</v>
      </c>
      <c r="O29" s="21">
        <v>436</v>
      </c>
      <c r="Q29" s="21" t="s">
        <v>402</v>
      </c>
      <c r="R29" s="21">
        <v>0.1</v>
      </c>
      <c r="S29" s="21">
        <v>-0.05</v>
      </c>
      <c r="T29" s="21">
        <v>0.1</v>
      </c>
      <c r="U29" s="21">
        <v>0.15</v>
      </c>
      <c r="V29" s="21">
        <v>76</v>
      </c>
      <c r="W29" s="21">
        <v>1736</v>
      </c>
      <c r="X29" s="21">
        <v>50</v>
      </c>
      <c r="Y29" s="21" t="s">
        <v>403</v>
      </c>
      <c r="Z29" s="21">
        <v>6.1</v>
      </c>
      <c r="AA29" s="21">
        <v>0</v>
      </c>
      <c r="AB29" s="21">
        <v>7.8</v>
      </c>
      <c r="AC29" s="21">
        <v>8.6</v>
      </c>
      <c r="AD29" s="21">
        <v>5</v>
      </c>
      <c r="AE29" s="21">
        <v>436</v>
      </c>
      <c r="AG29" s="21" t="s">
        <v>467</v>
      </c>
      <c r="AH29" s="21">
        <v>12.6</v>
      </c>
      <c r="AI29" s="21">
        <v>0</v>
      </c>
      <c r="AJ29" s="21">
        <v>4.5</v>
      </c>
      <c r="AK29" s="21">
        <v>5.4</v>
      </c>
      <c r="AL29" s="21">
        <v>4</v>
      </c>
      <c r="AM29" s="21">
        <v>1</v>
      </c>
      <c r="AN29" s="21">
        <v>75</v>
      </c>
      <c r="AO29" s="21" t="s">
        <v>468</v>
      </c>
      <c r="AP29" s="21">
        <v>2.2000000000000002</v>
      </c>
      <c r="AQ29" s="21">
        <v>0</v>
      </c>
      <c r="AR29" s="21">
        <v>3.2</v>
      </c>
      <c r="AS29" s="21">
        <v>4.2</v>
      </c>
      <c r="AT29" s="21">
        <v>3</v>
      </c>
      <c r="AU29" s="21">
        <v>3</v>
      </c>
    </row>
    <row r="30" spans="1:47" x14ac:dyDescent="0.25">
      <c r="A30" s="21" t="s">
        <v>404</v>
      </c>
      <c r="B30" s="21">
        <v>0.05</v>
      </c>
      <c r="C30" s="21">
        <v>-0.09</v>
      </c>
      <c r="D30" s="21">
        <v>0</v>
      </c>
      <c r="E30" s="21">
        <v>0.1</v>
      </c>
      <c r="F30" s="21">
        <v>1</v>
      </c>
      <c r="G30" s="21">
        <v>1542</v>
      </c>
      <c r="H30" s="21">
        <v>52.5</v>
      </c>
      <c r="I30" s="21" t="s">
        <v>405</v>
      </c>
      <c r="J30" s="21">
        <v>9.19</v>
      </c>
      <c r="K30" s="21">
        <v>4.74</v>
      </c>
      <c r="L30" s="21">
        <v>10.199999999999999</v>
      </c>
      <c r="M30" s="21">
        <v>11</v>
      </c>
      <c r="N30" s="21">
        <v>1</v>
      </c>
      <c r="O30" s="21">
        <v>95</v>
      </c>
      <c r="Q30" s="21" t="s">
        <v>404</v>
      </c>
      <c r="R30" s="21">
        <v>0.05</v>
      </c>
      <c r="S30" s="21">
        <v>-0.09</v>
      </c>
      <c r="T30" s="21">
        <v>0</v>
      </c>
      <c r="U30" s="21">
        <v>0.1</v>
      </c>
      <c r="V30" s="21">
        <v>1</v>
      </c>
      <c r="W30" s="21">
        <v>1542</v>
      </c>
      <c r="X30" s="21">
        <v>52.5</v>
      </c>
      <c r="Y30" s="21" t="s">
        <v>405</v>
      </c>
      <c r="Z30" s="21">
        <v>9.19</v>
      </c>
      <c r="AA30" s="21">
        <v>4.74</v>
      </c>
      <c r="AB30" s="21">
        <v>10.199999999999999</v>
      </c>
      <c r="AC30" s="21">
        <v>11</v>
      </c>
      <c r="AD30" s="21">
        <v>1</v>
      </c>
      <c r="AE30" s="21">
        <v>95</v>
      </c>
      <c r="AG30" s="21" t="s">
        <v>469</v>
      </c>
      <c r="AH30" s="21">
        <v>2.42</v>
      </c>
      <c r="AI30" s="21">
        <v>-0.88</v>
      </c>
      <c r="AJ30" s="21">
        <v>2.2999999999999998</v>
      </c>
      <c r="AK30" s="21">
        <v>3</v>
      </c>
      <c r="AL30" s="21">
        <v>20</v>
      </c>
      <c r="AM30" s="21">
        <v>22</v>
      </c>
      <c r="AN30" s="21">
        <v>80</v>
      </c>
      <c r="AO30" s="21" t="s">
        <v>470</v>
      </c>
      <c r="AP30" s="21">
        <v>4.4000000000000004</v>
      </c>
      <c r="AQ30" s="21">
        <v>0</v>
      </c>
      <c r="AR30" s="21">
        <v>5.4</v>
      </c>
      <c r="AS30" s="21">
        <v>6.9</v>
      </c>
      <c r="AT30" s="21">
        <v>1</v>
      </c>
      <c r="AU30" s="21">
        <v>104</v>
      </c>
    </row>
    <row r="31" spans="1:47" x14ac:dyDescent="0.25">
      <c r="A31" s="21" t="s">
        <v>406</v>
      </c>
      <c r="B31" s="21">
        <v>0.05</v>
      </c>
      <c r="C31" s="21">
        <v>0</v>
      </c>
      <c r="D31" s="21">
        <v>0</v>
      </c>
      <c r="E31" s="21">
        <v>0.15</v>
      </c>
      <c r="F31" s="21">
        <v>50</v>
      </c>
      <c r="G31" s="21">
        <v>492</v>
      </c>
      <c r="H31" s="21">
        <v>55</v>
      </c>
      <c r="I31" s="21" t="s">
        <v>407</v>
      </c>
      <c r="J31" s="21">
        <v>6</v>
      </c>
      <c r="K31" s="21">
        <v>0</v>
      </c>
      <c r="L31" s="21">
        <v>12.6</v>
      </c>
      <c r="M31" s="21">
        <v>13.6</v>
      </c>
      <c r="N31" s="21">
        <v>4</v>
      </c>
      <c r="O31" s="21">
        <v>31</v>
      </c>
      <c r="Q31" s="21" t="s">
        <v>406</v>
      </c>
      <c r="R31" s="21">
        <v>0.05</v>
      </c>
      <c r="S31" s="21">
        <v>0</v>
      </c>
      <c r="T31" s="21">
        <v>0</v>
      </c>
      <c r="U31" s="21">
        <v>0.15</v>
      </c>
      <c r="V31" s="21">
        <v>50</v>
      </c>
      <c r="W31" s="21">
        <v>492</v>
      </c>
      <c r="X31" s="21">
        <v>55</v>
      </c>
      <c r="Y31" s="21" t="s">
        <v>407</v>
      </c>
      <c r="Z31" s="21">
        <v>6</v>
      </c>
      <c r="AA31" s="21">
        <v>0</v>
      </c>
      <c r="AB31" s="21">
        <v>12.6</v>
      </c>
      <c r="AC31" s="21">
        <v>13.6</v>
      </c>
      <c r="AD31" s="21">
        <v>4</v>
      </c>
      <c r="AE31" s="21">
        <v>31</v>
      </c>
      <c r="AG31" s="21" t="s">
        <v>471</v>
      </c>
      <c r="AH31" s="21">
        <v>3.3</v>
      </c>
      <c r="AI31" s="21">
        <v>0</v>
      </c>
      <c r="AJ31" s="21">
        <v>0.5</v>
      </c>
      <c r="AK31" s="21">
        <v>1.3</v>
      </c>
      <c r="AL31" s="21">
        <v>3</v>
      </c>
      <c r="AM31" s="21">
        <v>3</v>
      </c>
      <c r="AN31" s="21">
        <v>85</v>
      </c>
      <c r="AO31" s="21" t="s">
        <v>472</v>
      </c>
      <c r="AP31" s="21">
        <v>5</v>
      </c>
      <c r="AQ31" s="21">
        <v>0</v>
      </c>
      <c r="AR31" s="21">
        <v>8.8000000000000007</v>
      </c>
      <c r="AS31" s="21">
        <v>10.7</v>
      </c>
      <c r="AT31" s="21">
        <v>2</v>
      </c>
      <c r="AU31" s="21">
        <v>67</v>
      </c>
    </row>
    <row r="32" spans="1:47" x14ac:dyDescent="0.25">
      <c r="A32" s="21" t="s">
        <v>408</v>
      </c>
      <c r="B32" s="21">
        <v>0.25</v>
      </c>
      <c r="C32" s="21">
        <v>0</v>
      </c>
      <c r="D32" s="21">
        <v>0</v>
      </c>
      <c r="E32" s="21">
        <v>0.15</v>
      </c>
      <c r="F32" s="21">
        <v>0</v>
      </c>
      <c r="G32" s="21">
        <v>17</v>
      </c>
      <c r="H32" s="21">
        <v>57.5</v>
      </c>
      <c r="I32" s="21" t="s">
        <v>409</v>
      </c>
      <c r="J32" s="21" t="s">
        <v>366</v>
      </c>
      <c r="K32" s="21" t="s">
        <v>366</v>
      </c>
      <c r="L32" s="21" t="s">
        <v>366</v>
      </c>
      <c r="M32" s="21" t="s">
        <v>366</v>
      </c>
      <c r="N32" s="21" t="s">
        <v>366</v>
      </c>
      <c r="O32" s="21" t="s">
        <v>366</v>
      </c>
      <c r="Q32" s="21" t="s">
        <v>408</v>
      </c>
      <c r="R32" s="21">
        <v>0.25</v>
      </c>
      <c r="S32" s="21">
        <v>0</v>
      </c>
      <c r="T32" s="21">
        <v>0</v>
      </c>
      <c r="U32" s="21">
        <v>0.15</v>
      </c>
      <c r="V32" s="21">
        <v>0</v>
      </c>
      <c r="W32" s="21">
        <v>17</v>
      </c>
      <c r="X32" s="21">
        <v>57.5</v>
      </c>
      <c r="Y32" s="21" t="s">
        <v>409</v>
      </c>
      <c r="Z32" s="21" t="s">
        <v>366</v>
      </c>
      <c r="AA32" s="21" t="s">
        <v>366</v>
      </c>
      <c r="AB32" s="21" t="s">
        <v>366</v>
      </c>
      <c r="AC32" s="21" t="s">
        <v>366</v>
      </c>
      <c r="AD32" s="21" t="s">
        <v>366</v>
      </c>
      <c r="AE32" s="21" t="s">
        <v>366</v>
      </c>
      <c r="AG32" s="21" t="s">
        <v>473</v>
      </c>
      <c r="AH32" s="21">
        <v>0.5</v>
      </c>
      <c r="AI32" s="21">
        <v>0</v>
      </c>
      <c r="AJ32" s="21">
        <v>0.35</v>
      </c>
      <c r="AK32" s="21">
        <v>0.65</v>
      </c>
      <c r="AL32" s="21">
        <v>3</v>
      </c>
      <c r="AM32" s="21">
        <v>21</v>
      </c>
      <c r="AN32" s="21">
        <v>90</v>
      </c>
      <c r="AO32" s="21" t="s">
        <v>474</v>
      </c>
      <c r="AP32" s="21">
        <v>11.72</v>
      </c>
      <c r="AQ32" s="21">
        <v>0</v>
      </c>
      <c r="AR32" s="21">
        <v>13</v>
      </c>
      <c r="AS32" s="21">
        <v>15.8</v>
      </c>
      <c r="AT32" s="21">
        <v>5</v>
      </c>
      <c r="AU32" s="21">
        <v>123</v>
      </c>
    </row>
    <row r="33" spans="1:47" x14ac:dyDescent="0.25">
      <c r="A33" s="21" t="s">
        <v>410</v>
      </c>
      <c r="B33" s="21">
        <v>0.14000000000000001</v>
      </c>
      <c r="C33" s="21">
        <v>0</v>
      </c>
      <c r="D33" s="21">
        <v>0</v>
      </c>
      <c r="E33" s="21">
        <v>0.15</v>
      </c>
      <c r="F33" s="21">
        <v>0</v>
      </c>
      <c r="G33" s="21">
        <v>10</v>
      </c>
      <c r="H33" s="21">
        <v>60</v>
      </c>
      <c r="I33" s="21" t="s">
        <v>411</v>
      </c>
      <c r="J33" s="21" t="s">
        <v>366</v>
      </c>
      <c r="K33" s="21" t="s">
        <v>366</v>
      </c>
      <c r="L33" s="21" t="s">
        <v>366</v>
      </c>
      <c r="M33" s="21" t="s">
        <v>366</v>
      </c>
      <c r="N33" s="21" t="s">
        <v>366</v>
      </c>
      <c r="O33" s="21" t="s">
        <v>366</v>
      </c>
      <c r="Q33" s="21" t="s">
        <v>410</v>
      </c>
      <c r="R33" s="21">
        <v>0.14000000000000001</v>
      </c>
      <c r="S33" s="21">
        <v>0</v>
      </c>
      <c r="T33" s="21">
        <v>0</v>
      </c>
      <c r="U33" s="21">
        <v>0.15</v>
      </c>
      <c r="V33" s="21">
        <v>0</v>
      </c>
      <c r="W33" s="21">
        <v>10</v>
      </c>
      <c r="X33" s="21">
        <v>60</v>
      </c>
      <c r="Y33" s="21" t="s">
        <v>411</v>
      </c>
      <c r="Z33" s="21" t="s">
        <v>366</v>
      </c>
      <c r="AA33" s="21" t="s">
        <v>366</v>
      </c>
      <c r="AB33" s="21" t="s">
        <v>366</v>
      </c>
      <c r="AC33" s="21" t="s">
        <v>366</v>
      </c>
      <c r="AD33" s="21" t="s">
        <v>366</v>
      </c>
      <c r="AE33" s="21" t="s">
        <v>366</v>
      </c>
      <c r="AG33" s="21" t="s">
        <v>475</v>
      </c>
      <c r="AH33" s="21">
        <v>0.75</v>
      </c>
      <c r="AI33" s="21">
        <v>0</v>
      </c>
      <c r="AJ33" s="21">
        <v>0</v>
      </c>
      <c r="AK33" s="21">
        <v>0.4</v>
      </c>
      <c r="AL33" s="21">
        <v>1</v>
      </c>
      <c r="AM33" s="21">
        <v>159</v>
      </c>
      <c r="AN33" s="21">
        <v>95</v>
      </c>
      <c r="AO33" s="21" t="s">
        <v>476</v>
      </c>
      <c r="AP33" s="21">
        <v>13.17</v>
      </c>
      <c r="AQ33" s="21">
        <v>0</v>
      </c>
      <c r="AR33" s="21">
        <v>17.3</v>
      </c>
      <c r="AS33" s="21">
        <v>21.3</v>
      </c>
      <c r="AT33" s="21">
        <v>2</v>
      </c>
      <c r="AU33" s="21">
        <v>2</v>
      </c>
    </row>
    <row r="34" spans="1:47" x14ac:dyDescent="0.25">
      <c r="A34" s="21" t="s">
        <v>412</v>
      </c>
      <c r="B34" s="21" t="s">
        <v>366</v>
      </c>
      <c r="C34" s="21" t="s">
        <v>366</v>
      </c>
      <c r="D34" s="21" t="s">
        <v>366</v>
      </c>
      <c r="E34" s="21" t="s">
        <v>366</v>
      </c>
      <c r="F34" s="21" t="s">
        <v>366</v>
      </c>
      <c r="G34" s="21" t="s">
        <v>366</v>
      </c>
      <c r="H34" s="21">
        <v>65</v>
      </c>
      <c r="I34" s="21" t="s">
        <v>413</v>
      </c>
      <c r="J34" s="21">
        <v>17.23</v>
      </c>
      <c r="K34" s="21">
        <v>0</v>
      </c>
      <c r="L34" s="21">
        <v>21.8</v>
      </c>
      <c r="M34" s="21">
        <v>23.6</v>
      </c>
      <c r="N34" s="21">
        <v>0</v>
      </c>
      <c r="O34" s="21">
        <v>24</v>
      </c>
      <c r="Q34" s="21" t="s">
        <v>412</v>
      </c>
      <c r="R34" s="21" t="s">
        <v>366</v>
      </c>
      <c r="S34" s="21" t="s">
        <v>366</v>
      </c>
      <c r="T34" s="21" t="s">
        <v>366</v>
      </c>
      <c r="U34" s="21" t="s">
        <v>366</v>
      </c>
      <c r="V34" s="21" t="s">
        <v>366</v>
      </c>
      <c r="W34" s="21" t="s">
        <v>366</v>
      </c>
      <c r="X34" s="21">
        <v>65</v>
      </c>
      <c r="Y34" s="21" t="s">
        <v>413</v>
      </c>
      <c r="Z34" s="21">
        <v>17.23</v>
      </c>
      <c r="AA34" s="21">
        <v>0</v>
      </c>
      <c r="AB34" s="21">
        <v>21.8</v>
      </c>
      <c r="AC34" s="21">
        <v>23.6</v>
      </c>
      <c r="AD34" s="21">
        <v>0</v>
      </c>
      <c r="AE34" s="21">
        <v>24</v>
      </c>
      <c r="AG34" s="21" t="s">
        <v>477</v>
      </c>
      <c r="AH34" s="21">
        <v>1.5</v>
      </c>
      <c r="AI34" s="21">
        <v>0</v>
      </c>
      <c r="AJ34" s="21">
        <v>0</v>
      </c>
      <c r="AK34" s="21">
        <v>0.25</v>
      </c>
      <c r="AL34" s="21">
        <v>0</v>
      </c>
      <c r="AM34" s="21">
        <v>10</v>
      </c>
      <c r="AN34" s="21">
        <v>100</v>
      </c>
      <c r="AO34" s="21" t="s">
        <v>478</v>
      </c>
      <c r="AP34" s="21" t="s">
        <v>366</v>
      </c>
      <c r="AQ34" s="21" t="s">
        <v>366</v>
      </c>
      <c r="AR34" s="21" t="s">
        <v>366</v>
      </c>
      <c r="AS34" s="21" t="s">
        <v>366</v>
      </c>
      <c r="AT34" s="21" t="s">
        <v>366</v>
      </c>
      <c r="AU34" s="21" t="s">
        <v>366</v>
      </c>
    </row>
    <row r="35" spans="1:47" x14ac:dyDescent="0.25">
      <c r="A35" s="21" t="s">
        <v>414</v>
      </c>
      <c r="B35" s="21" t="s">
        <v>366</v>
      </c>
      <c r="C35" s="21" t="s">
        <v>366</v>
      </c>
      <c r="D35" s="21" t="s">
        <v>366</v>
      </c>
      <c r="E35" s="21" t="s">
        <v>366</v>
      </c>
      <c r="F35" s="21" t="s">
        <v>366</v>
      </c>
      <c r="G35" s="21" t="s">
        <v>366</v>
      </c>
      <c r="H35" s="21">
        <v>70</v>
      </c>
      <c r="I35" s="21" t="s">
        <v>415</v>
      </c>
      <c r="J35" s="21">
        <v>22.12</v>
      </c>
      <c r="K35" s="21">
        <v>0</v>
      </c>
      <c r="L35" s="21">
        <v>26.3</v>
      </c>
      <c r="M35" s="21">
        <v>28.9</v>
      </c>
      <c r="N35" s="21">
        <v>0</v>
      </c>
      <c r="O35" s="21">
        <v>21</v>
      </c>
      <c r="Q35" s="21" t="s">
        <v>414</v>
      </c>
      <c r="R35" s="21" t="s">
        <v>366</v>
      </c>
      <c r="S35" s="21" t="s">
        <v>366</v>
      </c>
      <c r="T35" s="21" t="s">
        <v>366</v>
      </c>
      <c r="U35" s="21" t="s">
        <v>366</v>
      </c>
      <c r="V35" s="21" t="s">
        <v>366</v>
      </c>
      <c r="W35" s="21" t="s">
        <v>366</v>
      </c>
      <c r="X35" s="21">
        <v>70</v>
      </c>
      <c r="Y35" s="21" t="s">
        <v>415</v>
      </c>
      <c r="Z35" s="21">
        <v>22.12</v>
      </c>
      <c r="AA35" s="21">
        <v>0</v>
      </c>
      <c r="AB35" s="21">
        <v>26.3</v>
      </c>
      <c r="AC35" s="21">
        <v>28.9</v>
      </c>
      <c r="AD35" s="21">
        <v>0</v>
      </c>
      <c r="AE35" s="21">
        <v>21</v>
      </c>
    </row>
    <row r="36" spans="1:47" x14ac:dyDescent="0.25">
      <c r="A36" s="21" t="s">
        <v>495</v>
      </c>
      <c r="B36" s="21" t="s">
        <v>366</v>
      </c>
      <c r="C36" s="21" t="s">
        <v>366</v>
      </c>
      <c r="D36" s="21" t="s">
        <v>366</v>
      </c>
      <c r="E36" s="21" t="s">
        <v>366</v>
      </c>
      <c r="F36" s="21" t="s">
        <v>366</v>
      </c>
      <c r="G36" s="21" t="s">
        <v>366</v>
      </c>
      <c r="H36" s="21">
        <v>35</v>
      </c>
      <c r="I36" s="21" t="s">
        <v>496</v>
      </c>
      <c r="J36" s="21">
        <v>0.56000000000000005</v>
      </c>
      <c r="K36" s="21">
        <v>0</v>
      </c>
      <c r="L36" s="21">
        <v>0.5</v>
      </c>
      <c r="M36" s="21">
        <v>0.75</v>
      </c>
      <c r="N36" s="21">
        <v>4</v>
      </c>
      <c r="O36" s="21">
        <v>4</v>
      </c>
      <c r="Q36" s="21" t="s">
        <v>495</v>
      </c>
      <c r="R36" s="21" t="s">
        <v>366</v>
      </c>
      <c r="S36" s="21" t="s">
        <v>366</v>
      </c>
      <c r="T36" s="21" t="s">
        <v>366</v>
      </c>
      <c r="U36" s="21" t="s">
        <v>366</v>
      </c>
      <c r="V36" s="21" t="s">
        <v>366</v>
      </c>
      <c r="W36" s="21" t="s">
        <v>366</v>
      </c>
      <c r="X36" s="21">
        <v>35</v>
      </c>
      <c r="Y36" s="21" t="s">
        <v>496</v>
      </c>
      <c r="Z36" s="21">
        <v>0.56000000000000005</v>
      </c>
      <c r="AA36" s="21">
        <v>0</v>
      </c>
      <c r="AB36" s="21">
        <v>0.5</v>
      </c>
      <c r="AC36" s="21">
        <v>0.75</v>
      </c>
      <c r="AD36" s="21">
        <v>4</v>
      </c>
      <c r="AE36" s="21">
        <v>4</v>
      </c>
    </row>
    <row r="37" spans="1:47" x14ac:dyDescent="0.25">
      <c r="A37" s="21" t="s">
        <v>497</v>
      </c>
      <c r="B37" s="21">
        <v>7.32</v>
      </c>
      <c r="C37" s="21">
        <v>0</v>
      </c>
      <c r="D37" s="21">
        <v>5.2</v>
      </c>
      <c r="E37" s="21">
        <v>6.1</v>
      </c>
      <c r="F37" s="21">
        <v>2</v>
      </c>
      <c r="G37" s="21">
        <v>2</v>
      </c>
      <c r="H37" s="21">
        <v>37.5</v>
      </c>
      <c r="I37" s="21" t="s">
        <v>498</v>
      </c>
      <c r="J37" s="21">
        <v>1.1000000000000001</v>
      </c>
      <c r="K37" s="21">
        <v>0.6</v>
      </c>
      <c r="L37" s="21">
        <v>1.05</v>
      </c>
      <c r="M37" s="21">
        <v>1.3</v>
      </c>
      <c r="N37" s="21">
        <v>20</v>
      </c>
      <c r="O37" s="21">
        <v>9</v>
      </c>
      <c r="Q37" s="21" t="s">
        <v>497</v>
      </c>
      <c r="R37" s="21">
        <v>7.32</v>
      </c>
      <c r="S37" s="21">
        <v>0</v>
      </c>
      <c r="T37" s="21">
        <v>5.2</v>
      </c>
      <c r="U37" s="21">
        <v>6.1</v>
      </c>
      <c r="V37" s="21">
        <v>2</v>
      </c>
      <c r="W37" s="21">
        <v>2</v>
      </c>
      <c r="X37" s="21">
        <v>37.5</v>
      </c>
      <c r="Y37" s="21" t="s">
        <v>498</v>
      </c>
      <c r="Z37" s="21">
        <v>1.1000000000000001</v>
      </c>
      <c r="AA37" s="21">
        <v>0.6</v>
      </c>
      <c r="AB37" s="21">
        <v>1.05</v>
      </c>
      <c r="AC37" s="21">
        <v>1.3</v>
      </c>
      <c r="AD37" s="21">
        <v>20</v>
      </c>
      <c r="AE37" s="21">
        <v>9</v>
      </c>
    </row>
    <row r="38" spans="1:47" x14ac:dyDescent="0.25">
      <c r="A38" s="21" t="s">
        <v>499</v>
      </c>
      <c r="B38" s="21" t="s">
        <v>366</v>
      </c>
      <c r="C38" s="21" t="s">
        <v>366</v>
      </c>
      <c r="D38" s="21" t="s">
        <v>366</v>
      </c>
      <c r="E38" s="21" t="s">
        <v>366</v>
      </c>
      <c r="F38" s="21" t="s">
        <v>366</v>
      </c>
      <c r="G38" s="21" t="s">
        <v>366</v>
      </c>
      <c r="H38" s="21">
        <v>40</v>
      </c>
      <c r="I38" s="21" t="s">
        <v>500</v>
      </c>
      <c r="J38" s="21">
        <v>1.22</v>
      </c>
      <c r="K38" s="21">
        <v>0</v>
      </c>
      <c r="L38" s="21">
        <v>1.75</v>
      </c>
      <c r="M38" s="21">
        <v>1.9</v>
      </c>
      <c r="N38" s="21">
        <v>5</v>
      </c>
      <c r="O38" s="21">
        <v>132</v>
      </c>
      <c r="Q38" s="21" t="s">
        <v>499</v>
      </c>
      <c r="R38" s="21" t="s">
        <v>366</v>
      </c>
      <c r="S38" s="21" t="s">
        <v>366</v>
      </c>
      <c r="T38" s="21" t="s">
        <v>366</v>
      </c>
      <c r="U38" s="21" t="s">
        <v>366</v>
      </c>
      <c r="V38" s="21" t="s">
        <v>366</v>
      </c>
      <c r="W38" s="21" t="s">
        <v>366</v>
      </c>
      <c r="X38" s="21">
        <v>40</v>
      </c>
      <c r="Y38" s="21" t="s">
        <v>500</v>
      </c>
      <c r="Z38" s="21">
        <v>1.22</v>
      </c>
      <c r="AA38" s="21">
        <v>0</v>
      </c>
      <c r="AB38" s="21">
        <v>1.75</v>
      </c>
      <c r="AC38" s="21">
        <v>1.9</v>
      </c>
      <c r="AD38" s="21">
        <v>5</v>
      </c>
      <c r="AE38" s="21">
        <v>132</v>
      </c>
    </row>
    <row r="39" spans="1:47" x14ac:dyDescent="0.25">
      <c r="A39" s="21" t="s">
        <v>501</v>
      </c>
      <c r="B39" s="21">
        <v>2.0499999999999998</v>
      </c>
      <c r="C39" s="21">
        <v>-0.75</v>
      </c>
      <c r="D39" s="21">
        <v>2.0499999999999998</v>
      </c>
      <c r="E39" s="21">
        <v>2.35</v>
      </c>
      <c r="F39" s="21">
        <v>38</v>
      </c>
      <c r="G39" s="21">
        <v>58</v>
      </c>
      <c r="H39" s="21">
        <v>42.5</v>
      </c>
      <c r="I39" s="21" t="s">
        <v>502</v>
      </c>
      <c r="J39" s="21">
        <v>3.1</v>
      </c>
      <c r="K39" s="21">
        <v>0.7</v>
      </c>
      <c r="L39" s="21">
        <v>2.85</v>
      </c>
      <c r="M39" s="21">
        <v>3.2</v>
      </c>
      <c r="N39" s="21">
        <v>10</v>
      </c>
      <c r="O39" s="21">
        <v>175</v>
      </c>
      <c r="Q39" s="21" t="s">
        <v>501</v>
      </c>
      <c r="R39" s="21">
        <v>2.0499999999999998</v>
      </c>
      <c r="S39" s="21">
        <v>-0.75</v>
      </c>
      <c r="T39" s="21">
        <v>2.0499999999999998</v>
      </c>
      <c r="U39" s="21">
        <v>2.35</v>
      </c>
      <c r="V39" s="21">
        <v>38</v>
      </c>
      <c r="W39" s="21">
        <v>58</v>
      </c>
      <c r="X39" s="21">
        <v>42.5</v>
      </c>
      <c r="Y39" s="21" t="s">
        <v>502</v>
      </c>
      <c r="Z39" s="21">
        <v>3.1</v>
      </c>
      <c r="AA39" s="21">
        <v>0.7</v>
      </c>
      <c r="AB39" s="21">
        <v>2.85</v>
      </c>
      <c r="AC39" s="21">
        <v>3.2</v>
      </c>
      <c r="AD39" s="21">
        <v>10</v>
      </c>
      <c r="AE39" s="21">
        <v>175</v>
      </c>
    </row>
    <row r="40" spans="1:47" x14ac:dyDescent="0.25">
      <c r="A40" s="21" t="s">
        <v>503</v>
      </c>
      <c r="B40" s="21">
        <v>1.1499999999999999</v>
      </c>
      <c r="C40" s="21">
        <v>-0.35</v>
      </c>
      <c r="D40" s="21">
        <v>1.25</v>
      </c>
      <c r="E40" s="21">
        <v>1.3</v>
      </c>
      <c r="F40" s="21">
        <v>339</v>
      </c>
      <c r="G40" s="21">
        <v>159</v>
      </c>
      <c r="H40" s="21">
        <v>45</v>
      </c>
      <c r="I40" s="21" t="s">
        <v>504</v>
      </c>
      <c r="J40" s="21">
        <v>4.37</v>
      </c>
      <c r="K40" s="21">
        <v>0.47</v>
      </c>
      <c r="L40" s="21">
        <v>4</v>
      </c>
      <c r="M40" s="21">
        <v>4.8</v>
      </c>
      <c r="N40" s="21">
        <v>6</v>
      </c>
      <c r="O40" s="21">
        <v>134</v>
      </c>
      <c r="Q40" s="21" t="s">
        <v>503</v>
      </c>
      <c r="R40" s="21">
        <v>1.1499999999999999</v>
      </c>
      <c r="S40" s="21">
        <v>-0.35</v>
      </c>
      <c r="T40" s="21">
        <v>1.25</v>
      </c>
      <c r="U40" s="21">
        <v>1.3</v>
      </c>
      <c r="V40" s="21">
        <v>339</v>
      </c>
      <c r="W40" s="21">
        <v>159</v>
      </c>
      <c r="X40" s="21">
        <v>45</v>
      </c>
      <c r="Y40" s="21" t="s">
        <v>504</v>
      </c>
      <c r="Z40" s="21">
        <v>4.37</v>
      </c>
      <c r="AA40" s="21">
        <v>0.47</v>
      </c>
      <c r="AB40" s="21">
        <v>4</v>
      </c>
      <c r="AC40" s="21">
        <v>4.8</v>
      </c>
      <c r="AD40" s="21">
        <v>6</v>
      </c>
      <c r="AE40" s="21">
        <v>134</v>
      </c>
    </row>
    <row r="41" spans="1:47" x14ac:dyDescent="0.25">
      <c r="A41" s="21" t="s">
        <v>505</v>
      </c>
      <c r="B41" s="21">
        <v>0.5</v>
      </c>
      <c r="C41" s="21">
        <v>-0.35</v>
      </c>
      <c r="D41" s="21">
        <v>0.5</v>
      </c>
      <c r="E41" s="21">
        <v>0.8</v>
      </c>
      <c r="F41" s="21">
        <v>4</v>
      </c>
      <c r="G41" s="21">
        <v>526</v>
      </c>
      <c r="H41" s="21">
        <v>47.5</v>
      </c>
      <c r="I41" s="21" t="s">
        <v>506</v>
      </c>
      <c r="J41" s="21">
        <v>6.3</v>
      </c>
      <c r="K41" s="21">
        <v>1.4</v>
      </c>
      <c r="L41" s="21">
        <v>6.2</v>
      </c>
      <c r="M41" s="21">
        <v>6.7</v>
      </c>
      <c r="N41" s="21">
        <v>20</v>
      </c>
      <c r="O41" s="21">
        <v>36</v>
      </c>
      <c r="Q41" s="21" t="s">
        <v>505</v>
      </c>
      <c r="R41" s="21">
        <v>0.5</v>
      </c>
      <c r="S41" s="21">
        <v>-0.35</v>
      </c>
      <c r="T41" s="21">
        <v>0.5</v>
      </c>
      <c r="U41" s="21">
        <v>0.8</v>
      </c>
      <c r="V41" s="21">
        <v>4</v>
      </c>
      <c r="W41" s="21">
        <v>526</v>
      </c>
      <c r="X41" s="21">
        <v>47.5</v>
      </c>
      <c r="Y41" s="21" t="s">
        <v>506</v>
      </c>
      <c r="Z41" s="21">
        <v>6.3</v>
      </c>
      <c r="AA41" s="21">
        <v>1.4</v>
      </c>
      <c r="AB41" s="21">
        <v>6.2</v>
      </c>
      <c r="AC41" s="21">
        <v>6.7</v>
      </c>
      <c r="AD41" s="21">
        <v>20</v>
      </c>
      <c r="AE41" s="21">
        <v>36</v>
      </c>
    </row>
    <row r="42" spans="1:47" x14ac:dyDescent="0.25">
      <c r="A42" s="21" t="s">
        <v>507</v>
      </c>
      <c r="B42" s="21">
        <v>0.35</v>
      </c>
      <c r="C42" s="21">
        <v>-0.05</v>
      </c>
      <c r="D42" s="21">
        <v>0.2</v>
      </c>
      <c r="E42" s="21">
        <v>0.45</v>
      </c>
      <c r="F42" s="21">
        <v>1</v>
      </c>
      <c r="G42" s="21">
        <v>108</v>
      </c>
      <c r="H42" s="21">
        <v>50</v>
      </c>
      <c r="I42" s="21" t="s">
        <v>508</v>
      </c>
      <c r="J42" s="21">
        <v>8.5</v>
      </c>
      <c r="K42" s="21">
        <v>1.34</v>
      </c>
      <c r="L42" s="21">
        <v>8.1</v>
      </c>
      <c r="M42" s="21">
        <v>9.1</v>
      </c>
      <c r="N42" s="21">
        <v>12</v>
      </c>
      <c r="O42" s="21">
        <v>679</v>
      </c>
      <c r="Q42" s="21" t="s">
        <v>507</v>
      </c>
      <c r="R42" s="21">
        <v>0.35</v>
      </c>
      <c r="S42" s="21">
        <v>-0.05</v>
      </c>
      <c r="T42" s="21">
        <v>0.2</v>
      </c>
      <c r="U42" s="21">
        <v>0.45</v>
      </c>
      <c r="V42" s="21">
        <v>1</v>
      </c>
      <c r="W42" s="21">
        <v>108</v>
      </c>
      <c r="X42" s="21">
        <v>50</v>
      </c>
      <c r="Y42" s="21" t="s">
        <v>508</v>
      </c>
      <c r="Z42" s="21">
        <v>8.5</v>
      </c>
      <c r="AA42" s="21">
        <v>1.34</v>
      </c>
      <c r="AB42" s="21">
        <v>8.1</v>
      </c>
      <c r="AC42" s="21">
        <v>9.1</v>
      </c>
      <c r="AD42" s="21">
        <v>12</v>
      </c>
      <c r="AE42" s="21">
        <v>679</v>
      </c>
    </row>
    <row r="43" spans="1:47" x14ac:dyDescent="0.25">
      <c r="A43" s="21" t="s">
        <v>509</v>
      </c>
      <c r="B43" s="21">
        <v>0.17</v>
      </c>
      <c r="C43" s="21">
        <v>-0.28000000000000003</v>
      </c>
      <c r="D43" s="21">
        <v>0.1</v>
      </c>
      <c r="E43" s="21">
        <v>0.3</v>
      </c>
      <c r="F43" s="21">
        <v>3</v>
      </c>
      <c r="G43" s="21">
        <v>163</v>
      </c>
      <c r="H43" s="21">
        <v>52.5</v>
      </c>
      <c r="I43" s="21" t="s">
        <v>510</v>
      </c>
      <c r="J43" s="21">
        <v>9.0299999999999994</v>
      </c>
      <c r="K43" s="21">
        <v>0</v>
      </c>
      <c r="L43" s="21">
        <v>10.6</v>
      </c>
      <c r="M43" s="21">
        <v>11.6</v>
      </c>
      <c r="N43" s="21">
        <v>9</v>
      </c>
      <c r="O43" s="21">
        <v>10</v>
      </c>
      <c r="Q43" s="21" t="s">
        <v>509</v>
      </c>
      <c r="R43" s="21">
        <v>0.17</v>
      </c>
      <c r="S43" s="21">
        <v>-0.28000000000000003</v>
      </c>
      <c r="T43" s="21">
        <v>0.1</v>
      </c>
      <c r="U43" s="21">
        <v>0.3</v>
      </c>
      <c r="V43" s="21">
        <v>3</v>
      </c>
      <c r="W43" s="21">
        <v>163</v>
      </c>
      <c r="X43" s="21">
        <v>52.5</v>
      </c>
      <c r="Y43" s="21" t="s">
        <v>510</v>
      </c>
      <c r="Z43" s="21">
        <v>9.0299999999999994</v>
      </c>
      <c r="AA43" s="21">
        <v>0</v>
      </c>
      <c r="AB43" s="21">
        <v>10.6</v>
      </c>
      <c r="AC43" s="21">
        <v>11.6</v>
      </c>
      <c r="AD43" s="21">
        <v>9</v>
      </c>
      <c r="AE43" s="21">
        <v>10</v>
      </c>
    </row>
    <row r="44" spans="1:47" x14ac:dyDescent="0.25">
      <c r="A44" s="21" t="s">
        <v>511</v>
      </c>
      <c r="B44" s="21">
        <v>0.15</v>
      </c>
      <c r="C44" s="21">
        <v>0</v>
      </c>
      <c r="D44" s="21">
        <v>0</v>
      </c>
      <c r="E44" s="21">
        <v>0.25</v>
      </c>
      <c r="F44" s="21">
        <v>10</v>
      </c>
      <c r="G44" s="21">
        <v>19</v>
      </c>
      <c r="H44" s="21">
        <v>55</v>
      </c>
      <c r="I44" s="21" t="s">
        <v>512</v>
      </c>
      <c r="J44" s="21" t="s">
        <v>366</v>
      </c>
      <c r="K44" s="21" t="s">
        <v>366</v>
      </c>
      <c r="L44" s="21" t="s">
        <v>366</v>
      </c>
      <c r="M44" s="21" t="s">
        <v>366</v>
      </c>
      <c r="N44" s="21" t="s">
        <v>366</v>
      </c>
      <c r="O44" s="21" t="s">
        <v>366</v>
      </c>
      <c r="Q44" s="21" t="s">
        <v>511</v>
      </c>
      <c r="R44" s="21">
        <v>0.15</v>
      </c>
      <c r="S44" s="21">
        <v>0</v>
      </c>
      <c r="T44" s="21">
        <v>0</v>
      </c>
      <c r="U44" s="21">
        <v>0.25</v>
      </c>
      <c r="V44" s="21">
        <v>10</v>
      </c>
      <c r="W44" s="21">
        <v>19</v>
      </c>
      <c r="X44" s="21">
        <v>55</v>
      </c>
      <c r="Y44" s="21" t="s">
        <v>512</v>
      </c>
      <c r="Z44" s="21" t="s">
        <v>366</v>
      </c>
      <c r="AA44" s="21" t="s">
        <v>366</v>
      </c>
      <c r="AB44" s="21" t="s">
        <v>366</v>
      </c>
      <c r="AC44" s="21" t="s">
        <v>366</v>
      </c>
      <c r="AD44" s="21" t="s">
        <v>366</v>
      </c>
      <c r="AE44" s="21" t="s">
        <v>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CBOE</vt:lpstr>
      <vt:lpstr>Yahoo</vt:lpstr>
      <vt:lpstr>Google</vt:lpstr>
      <vt:lpstr>Prices.xla</vt:lpstr>
      <vt:lpstr>gsymbol</vt:lpstr>
      <vt:lpstr>symbol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Tedi</dc:creator>
  <cp:lastModifiedBy>Joe Matthesius</cp:lastModifiedBy>
  <dcterms:created xsi:type="dcterms:W3CDTF">2012-02-08T00:30:58Z</dcterms:created>
  <dcterms:modified xsi:type="dcterms:W3CDTF">2016-04-19T05:55:30Z</dcterms:modified>
</cp:coreProperties>
</file>